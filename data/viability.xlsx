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epalma-Lab/Alexia/3.Experiments/20251028-Thawing_Dcp_test/ThawingDCPs/"/>
    </mc:Choice>
  </mc:AlternateContent>
  <xr:revisionPtr revIDLastSave="0" documentId="13_ncr:1_{6458A1C6-795B-EB4A-B9D2-6DFA4B9FD583}" xr6:coauthVersionLast="47" xr6:coauthVersionMax="47" xr10:uidLastSave="{00000000-0000-0000-0000-000000000000}"/>
  <bookViews>
    <workbookView xWindow="8340" yWindow="740" windowWidth="21060" windowHeight="17000" activeTab="5" xr2:uid="{04F21ADD-521C-3D43-8BD2-2F70976D6201}"/>
  </bookViews>
  <sheets>
    <sheet name="Feuil1" sheetId="1" r:id="rId1"/>
    <sheet name="Feuil2" sheetId="2" r:id="rId2"/>
    <sheet name="Try 2" sheetId="3" r:id="rId3"/>
    <sheet name="Flow-csv" sheetId="4" r:id="rId4"/>
    <sheet name="Viability " sheetId="5" r:id="rId5"/>
    <sheet name="Feuil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N7" i="2"/>
  <c r="N8" i="2"/>
  <c r="N9" i="2"/>
  <c r="N10" i="2"/>
  <c r="N13" i="2"/>
  <c r="N15" i="2"/>
  <c r="N16" i="2"/>
  <c r="N17" i="2"/>
  <c r="N18" i="2"/>
  <c r="N21" i="2"/>
  <c r="N22" i="2"/>
  <c r="N23" i="2"/>
  <c r="N24" i="2"/>
  <c r="N25" i="2"/>
  <c r="N26" i="2"/>
  <c r="N28" i="2"/>
  <c r="N29" i="2"/>
  <c r="N30" i="2"/>
  <c r="N31" i="2"/>
  <c r="N32" i="2"/>
  <c r="N33" i="2"/>
  <c r="N34" i="2"/>
  <c r="N36" i="2"/>
  <c r="N38" i="2"/>
  <c r="N39" i="2"/>
  <c r="N40" i="2"/>
  <c r="N41" i="2"/>
  <c r="N42" i="2"/>
  <c r="N45" i="2"/>
  <c r="N46" i="2"/>
  <c r="N2" i="2"/>
  <c r="N6" i="2"/>
  <c r="N14" i="2"/>
  <c r="N20" i="2"/>
  <c r="N3" i="2"/>
  <c r="N4" i="2"/>
  <c r="N11" i="2"/>
  <c r="N12" i="2"/>
  <c r="N19" i="2"/>
  <c r="N27" i="2"/>
  <c r="N35" i="2"/>
  <c r="N37" i="2"/>
  <c r="N43" i="2"/>
  <c r="N44" i="2"/>
</calcChain>
</file>

<file path=xl/sharedStrings.xml><?xml version="1.0" encoding="utf-8"?>
<sst xmlns="http://schemas.openxmlformats.org/spreadsheetml/2006/main" count="685" uniqueCount="55">
  <si>
    <t>Before thawing</t>
  </si>
  <si>
    <t>Day 0</t>
  </si>
  <si>
    <t>Day 1</t>
  </si>
  <si>
    <t>Day 2</t>
  </si>
  <si>
    <t>Day 3</t>
  </si>
  <si>
    <t>Day 4</t>
  </si>
  <si>
    <t>Day 5</t>
  </si>
  <si>
    <t>Day 6</t>
  </si>
  <si>
    <t/>
  </si>
  <si>
    <t>US</t>
  </si>
  <si>
    <t>Pre-sort</t>
  </si>
  <si>
    <t>Sorted</t>
  </si>
  <si>
    <t>After thawing</t>
  </si>
  <si>
    <t>cDC1 no change</t>
  </si>
  <si>
    <t>cDC1 change eveyday</t>
  </si>
  <si>
    <t>HSC no change</t>
  </si>
  <si>
    <t>HSC change 1 of 2</t>
  </si>
  <si>
    <t>cDC1 change everyday</t>
  </si>
  <si>
    <t xml:space="preserve">cDC1 change 1 of 2 </t>
  </si>
  <si>
    <t>HSC change everyday</t>
  </si>
  <si>
    <t xml:space="preserve">HSC change 1 of 2 </t>
  </si>
  <si>
    <t>cDC1 change 1 of 2</t>
  </si>
  <si>
    <t>HSC change eveyday</t>
  </si>
  <si>
    <t>Mean</t>
  </si>
  <si>
    <t>SD</t>
  </si>
  <si>
    <t>cDC1</t>
  </si>
  <si>
    <t>Macrophages</t>
  </si>
  <si>
    <t>cDC2</t>
  </si>
  <si>
    <t>pDCs</t>
  </si>
  <si>
    <t>MDP</t>
  </si>
  <si>
    <t>Monocytes</t>
  </si>
  <si>
    <t>HSC</t>
  </si>
  <si>
    <t>T cells</t>
  </si>
  <si>
    <t>DCPs</t>
  </si>
  <si>
    <t>B cells</t>
  </si>
  <si>
    <t>NK cells, Eosinophils, granulocytes, neutrophils</t>
  </si>
  <si>
    <t>Before Thawing</t>
  </si>
  <si>
    <t>Time</t>
  </si>
  <si>
    <t xml:space="preserve">Others </t>
  </si>
  <si>
    <t>Sample</t>
  </si>
  <si>
    <t>9,4%+K10:M10</t>
  </si>
  <si>
    <t>cDC1+K10:M10 change 1 of 2</t>
  </si>
  <si>
    <t>Live</t>
  </si>
  <si>
    <t>Dead</t>
  </si>
  <si>
    <t>cDC1 - everyday</t>
  </si>
  <si>
    <t>2 step - everyday</t>
  </si>
  <si>
    <t>cDC1 - no change</t>
  </si>
  <si>
    <t>HSC - no change</t>
  </si>
  <si>
    <t>cDC1 - every 2 days</t>
  </si>
  <si>
    <t>2 step - every 2 days</t>
  </si>
  <si>
    <t xml:space="preserve">Live </t>
  </si>
  <si>
    <t>Day</t>
  </si>
  <si>
    <t>State</t>
  </si>
  <si>
    <t>Condition</t>
  </si>
  <si>
    <t>HSC - every 2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</si>
</sst>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9" fontId="0" fillId="0" borderId="0" xfId="0" applyNumberFormat="1"/>
    <xf numFmtId="10" fontId="0" fillId="0" borderId="0" xfId="0" applyNumberFormat="1"/>
    <xf numFmtId="11" fontId="0" fillId="0" borderId="0" xfId="0" applyNumberFormat="1"/>
    <xf numFmtId="10" fontId="1" fillId="0" borderId="0" xfId="0" applyNumberFormat="1" applyFont="1"/>
    <xf numFmtId="9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BC10-BEB9-814D-AC83-BF4EC412A876}">
  <dimension ref="A1:AX15"/>
  <sheetViews>
    <sheetView topLeftCell="E1" zoomScale="139" workbookViewId="0">
      <selection activeCell="K2" sqref="K2"/>
    </sheetView>
  </sheetViews>
  <sheetFormatPr baseColWidth="10" defaultRowHeight="16" x14ac:dyDescent="0.2"/>
  <sheetData>
    <row r="1" spans="1:50" x14ac:dyDescent="0.2">
      <c r="B1" s="13" t="s">
        <v>0</v>
      </c>
      <c r="C1" s="14"/>
      <c r="D1" s="14"/>
      <c r="E1" s="13" t="s">
        <v>1</v>
      </c>
      <c r="F1" s="14"/>
      <c r="G1" s="13" t="s">
        <v>2</v>
      </c>
      <c r="H1" s="14"/>
      <c r="I1" s="14"/>
      <c r="J1" s="14"/>
      <c r="K1" s="14"/>
      <c r="L1" s="14"/>
      <c r="M1" s="14"/>
      <c r="N1" s="13" t="s">
        <v>3</v>
      </c>
      <c r="O1" s="14"/>
      <c r="P1" s="14"/>
      <c r="Q1" s="14"/>
      <c r="R1" s="14"/>
      <c r="S1" s="14"/>
      <c r="T1" s="14"/>
      <c r="U1" s="13" t="s">
        <v>4</v>
      </c>
      <c r="V1" s="14"/>
      <c r="W1" s="14"/>
      <c r="X1" s="14"/>
      <c r="Y1" s="14"/>
      <c r="Z1" s="14"/>
      <c r="AA1" s="14"/>
      <c r="AB1" s="13" t="s">
        <v>5</v>
      </c>
      <c r="AC1" s="14"/>
      <c r="AD1" s="14"/>
      <c r="AE1" s="14"/>
      <c r="AF1" s="14"/>
      <c r="AG1" s="14"/>
      <c r="AH1" s="14"/>
      <c r="AI1" s="13" t="s">
        <v>6</v>
      </c>
      <c r="AJ1" s="14"/>
      <c r="AK1" s="14"/>
      <c r="AL1" s="14"/>
      <c r="AM1" s="14"/>
      <c r="AN1" s="14"/>
      <c r="AO1" s="14"/>
      <c r="AP1" s="13" t="s">
        <v>7</v>
      </c>
      <c r="AQ1" s="14"/>
      <c r="AR1" s="14"/>
      <c r="AS1" s="14"/>
      <c r="AT1" s="14"/>
      <c r="AU1" s="14"/>
      <c r="AV1" s="14"/>
    </row>
    <row r="2" spans="1:50" x14ac:dyDescent="0.2">
      <c r="A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9</v>
      </c>
      <c r="G2" s="1" t="s">
        <v>9</v>
      </c>
      <c r="H2" s="1" t="s">
        <v>13</v>
      </c>
      <c r="I2" s="1" t="s">
        <v>17</v>
      </c>
      <c r="J2" s="1" t="s">
        <v>21</v>
      </c>
      <c r="K2" s="1" t="s">
        <v>15</v>
      </c>
      <c r="L2" s="1" t="s">
        <v>19</v>
      </c>
      <c r="M2" s="1" t="s">
        <v>16</v>
      </c>
      <c r="N2" s="1" t="s">
        <v>9</v>
      </c>
      <c r="O2" s="1" t="s">
        <v>13</v>
      </c>
      <c r="P2" s="1" t="s">
        <v>17</v>
      </c>
      <c r="Q2" s="1" t="s">
        <v>21</v>
      </c>
      <c r="R2" s="1" t="s">
        <v>15</v>
      </c>
      <c r="S2" s="1" t="s">
        <v>19</v>
      </c>
      <c r="T2" s="1" t="s">
        <v>20</v>
      </c>
      <c r="U2" s="1" t="s">
        <v>9</v>
      </c>
      <c r="V2" s="1" t="s">
        <v>13</v>
      </c>
      <c r="W2" s="1" t="s">
        <v>17</v>
      </c>
      <c r="X2" s="1" t="s">
        <v>21</v>
      </c>
      <c r="Y2" s="1" t="s">
        <v>19</v>
      </c>
      <c r="Z2" s="1" t="s">
        <v>15</v>
      </c>
      <c r="AA2" s="1" t="s">
        <v>16</v>
      </c>
      <c r="AB2" s="1" t="s">
        <v>9</v>
      </c>
      <c r="AC2" s="1" t="s">
        <v>13</v>
      </c>
      <c r="AD2" s="1" t="s">
        <v>17</v>
      </c>
      <c r="AE2" s="1" t="s">
        <v>21</v>
      </c>
      <c r="AF2" s="1" t="s">
        <v>19</v>
      </c>
      <c r="AG2" s="1" t="s">
        <v>15</v>
      </c>
      <c r="AH2" s="1" t="s">
        <v>16</v>
      </c>
      <c r="AI2" s="1" t="s">
        <v>9</v>
      </c>
      <c r="AJ2" s="1" t="s">
        <v>13</v>
      </c>
      <c r="AK2" s="1" t="s">
        <v>17</v>
      </c>
      <c r="AL2" s="1" t="s">
        <v>21</v>
      </c>
      <c r="AM2" s="1" t="s">
        <v>22</v>
      </c>
      <c r="AN2" s="1" t="s">
        <v>19</v>
      </c>
      <c r="AO2" s="1" t="s">
        <v>20</v>
      </c>
      <c r="AP2" s="1" t="s">
        <v>9</v>
      </c>
      <c r="AQ2" s="1" t="s">
        <v>13</v>
      </c>
      <c r="AR2" s="1" t="s">
        <v>17</v>
      </c>
      <c r="AS2" s="1" t="s">
        <v>21</v>
      </c>
      <c r="AT2" s="1" t="s">
        <v>19</v>
      </c>
      <c r="AU2" s="1" t="s">
        <v>15</v>
      </c>
      <c r="AV2" s="1" t="s">
        <v>16</v>
      </c>
      <c r="AW2" t="s">
        <v>23</v>
      </c>
      <c r="AX2" t="s">
        <v>24</v>
      </c>
    </row>
    <row r="3" spans="1:50" x14ac:dyDescent="0.2">
      <c r="A3" s="1" t="s">
        <v>25</v>
      </c>
      <c r="B3" s="2">
        <v>0</v>
      </c>
      <c r="C3" s="3">
        <v>9.9000000000000008E-3</v>
      </c>
      <c r="D3" s="3">
        <v>2.3999999999999998E-3</v>
      </c>
      <c r="E3" s="3">
        <v>2E-3</v>
      </c>
      <c r="F3" s="2">
        <v>0</v>
      </c>
      <c r="G3" s="2">
        <v>0</v>
      </c>
      <c r="H3" s="3">
        <v>5.7000000000000002E-3</v>
      </c>
      <c r="I3" s="3">
        <v>6.6E-3</v>
      </c>
      <c r="J3" s="3">
        <v>5.7000000000000002E-3</v>
      </c>
      <c r="K3" s="3">
        <v>2.3999999999999998E-3</v>
      </c>
      <c r="L3" s="3">
        <v>5.0000000000000001E-3</v>
      </c>
      <c r="M3" s="5" t="s">
        <v>41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3">
        <v>7.6000000000000004E-4</v>
      </c>
      <c r="AX3" s="3">
        <v>2.0999999999999999E-3</v>
      </c>
    </row>
    <row r="4" spans="1:50" x14ac:dyDescent="0.2">
      <c r="A4" s="1" t="s">
        <v>26</v>
      </c>
      <c r="B4" s="2">
        <v>0</v>
      </c>
      <c r="C4" s="3">
        <v>1.8E-3</v>
      </c>
      <c r="D4" s="2">
        <v>0</v>
      </c>
      <c r="E4" s="3">
        <v>1.1999999999999999E-3</v>
      </c>
      <c r="F4" s="2">
        <v>0</v>
      </c>
      <c r="G4" s="2">
        <v>0</v>
      </c>
      <c r="H4" s="3">
        <v>0.11</v>
      </c>
      <c r="I4" s="3">
        <v>9.9599999999999994E-2</v>
      </c>
      <c r="J4" s="3">
        <v>0.11</v>
      </c>
      <c r="K4" s="3">
        <v>3.8699999999999998E-2</v>
      </c>
      <c r="L4" s="3">
        <v>3.5200000000000002E-2</v>
      </c>
      <c r="M4" s="3">
        <v>3.5200000000000002E-2</v>
      </c>
      <c r="N4" s="2">
        <v>0</v>
      </c>
      <c r="O4" s="3">
        <v>8.0600000000000005E-2</v>
      </c>
      <c r="P4" s="3">
        <v>0.222</v>
      </c>
      <c r="Q4" s="3">
        <v>0.127</v>
      </c>
      <c r="R4" s="3">
        <v>2.35E-2</v>
      </c>
      <c r="S4" s="3">
        <v>0.113</v>
      </c>
      <c r="T4" s="3">
        <v>1.6299999999999999E-2</v>
      </c>
      <c r="U4" s="2">
        <v>0</v>
      </c>
      <c r="V4" s="3">
        <v>1.5E-3</v>
      </c>
      <c r="W4" s="2">
        <v>0</v>
      </c>
      <c r="X4" s="3">
        <v>3.4000000000000002E-4</v>
      </c>
      <c r="Y4" s="2">
        <v>0</v>
      </c>
      <c r="Z4" s="2">
        <v>0</v>
      </c>
      <c r="AA4" s="2">
        <v>0</v>
      </c>
      <c r="AB4" s="2">
        <v>0</v>
      </c>
      <c r="AC4" s="3">
        <v>8.8000000000000005E-3</v>
      </c>
      <c r="AD4" s="3">
        <v>1.2699999999999999E-2</v>
      </c>
      <c r="AE4" s="3">
        <v>7.0000000000000001E-3</v>
      </c>
      <c r="AF4" s="3">
        <v>9.1000000000000004E-3</v>
      </c>
      <c r="AG4" s="3">
        <v>4.8000000000000001E-4</v>
      </c>
      <c r="AH4" s="3">
        <v>1.6999999999999999E-3</v>
      </c>
      <c r="AI4" s="2">
        <v>0</v>
      </c>
      <c r="AJ4" s="3">
        <v>4.1999999999999997E-3</v>
      </c>
      <c r="AK4" s="3">
        <v>8.8000000000000005E-3</v>
      </c>
      <c r="AL4" s="3">
        <v>6.8999999999999999E-3</v>
      </c>
      <c r="AM4" s="3">
        <v>8.6E-3</v>
      </c>
      <c r="AN4" s="3">
        <v>5.8E-4</v>
      </c>
      <c r="AO4" s="3">
        <v>3.8999999999999998E-3</v>
      </c>
      <c r="AP4" s="2">
        <v>0</v>
      </c>
      <c r="AQ4" s="2">
        <v>0</v>
      </c>
      <c r="AR4" s="2">
        <v>0</v>
      </c>
      <c r="AS4" s="3">
        <v>5.1999999999999995E-4</v>
      </c>
      <c r="AT4" s="2">
        <v>0</v>
      </c>
      <c r="AU4" s="2">
        <v>0</v>
      </c>
      <c r="AV4" s="3">
        <v>1.2E-4</v>
      </c>
      <c r="AW4" s="3">
        <v>2.1000000000000001E-2</v>
      </c>
      <c r="AX4" s="3">
        <v>4.5499999999999999E-2</v>
      </c>
    </row>
    <row r="5" spans="1:50" x14ac:dyDescent="0.2">
      <c r="A5" s="1" t="s">
        <v>27</v>
      </c>
      <c r="B5" s="2">
        <v>0</v>
      </c>
      <c r="C5" s="3">
        <v>2.12E-2</v>
      </c>
      <c r="D5" s="2">
        <v>0</v>
      </c>
      <c r="E5" s="3">
        <v>1.6E-2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3">
        <v>2.1100000000000001E-2</v>
      </c>
      <c r="P5" s="3">
        <v>2.8400000000000002E-2</v>
      </c>
      <c r="Q5" s="3">
        <v>2.18E-2</v>
      </c>
      <c r="R5" s="3">
        <v>1.1299999999999999E-2</v>
      </c>
      <c r="S5" s="3">
        <v>3.0499999999999999E-2</v>
      </c>
      <c r="T5" s="3">
        <v>1.6299999999999999E-2</v>
      </c>
      <c r="U5" s="2">
        <v>0</v>
      </c>
      <c r="V5" s="3">
        <v>6.4999999999999997E-3</v>
      </c>
      <c r="W5" s="3">
        <v>0.01</v>
      </c>
      <c r="X5" s="3">
        <v>7.7999999999999996E-3</v>
      </c>
      <c r="Y5" s="3">
        <v>8.2000000000000007E-3</v>
      </c>
      <c r="Z5" s="3">
        <v>6.4000000000000003E-3</v>
      </c>
      <c r="AA5" s="3">
        <v>4.4999999999999997E-3</v>
      </c>
      <c r="AB5" s="2">
        <v>0</v>
      </c>
      <c r="AC5" s="3">
        <v>8.3999999999999995E-3</v>
      </c>
      <c r="AD5" s="3">
        <v>8.2000000000000007E-3</v>
      </c>
      <c r="AE5" s="3">
        <v>7.9000000000000008E-3</v>
      </c>
      <c r="AF5" s="3">
        <v>3.0000000000000001E-3</v>
      </c>
      <c r="AG5" s="3">
        <v>3.7000000000000002E-3</v>
      </c>
      <c r="AH5" s="3">
        <v>2.5000000000000001E-3</v>
      </c>
      <c r="AI5" s="2">
        <v>0</v>
      </c>
      <c r="AJ5" s="3">
        <v>5.1999999999999998E-3</v>
      </c>
      <c r="AK5" s="3">
        <v>2.0400000000000001E-2</v>
      </c>
      <c r="AL5" s="3">
        <v>1.38E-2</v>
      </c>
      <c r="AM5" s="3">
        <v>1.7399999999999999E-2</v>
      </c>
      <c r="AN5" s="3">
        <v>3.3999999999999998E-3</v>
      </c>
      <c r="AO5" s="3">
        <v>1.34E-2</v>
      </c>
      <c r="AP5" s="2">
        <v>0</v>
      </c>
      <c r="AQ5" s="3">
        <v>6.0000000000000001E-3</v>
      </c>
      <c r="AR5" s="3">
        <v>1.06E-2</v>
      </c>
      <c r="AS5" s="3">
        <v>7.6E-3</v>
      </c>
      <c r="AT5" s="3">
        <v>1.1900000000000001E-2</v>
      </c>
      <c r="AU5" s="3">
        <v>1.1000000000000001E-3</v>
      </c>
      <c r="AV5" s="3">
        <v>5.7999999999999996E-3</v>
      </c>
      <c r="AW5" s="3">
        <v>8.0000000000000002E-3</v>
      </c>
      <c r="AX5" s="3">
        <v>8.2000000000000007E-3</v>
      </c>
    </row>
    <row r="6" spans="1:50" x14ac:dyDescent="0.2">
      <c r="A6" s="1" t="s">
        <v>26</v>
      </c>
      <c r="B6" s="2">
        <v>0</v>
      </c>
      <c r="C6" s="3">
        <v>5.28E-2</v>
      </c>
      <c r="D6" s="2">
        <v>0</v>
      </c>
      <c r="E6" s="3">
        <v>3.2800000000000003E-2</v>
      </c>
      <c r="F6" s="2">
        <v>0</v>
      </c>
      <c r="G6" s="2">
        <v>0</v>
      </c>
      <c r="H6" s="3">
        <v>3.5499999999999997E-2</v>
      </c>
      <c r="I6" s="3">
        <v>4.6199999999999998E-2</v>
      </c>
      <c r="J6" s="3">
        <v>3.5499999999999997E-2</v>
      </c>
      <c r="K6" s="3">
        <v>3.5499999999999997E-2</v>
      </c>
      <c r="L6" s="3">
        <v>4.6600000000000003E-2</v>
      </c>
      <c r="M6" s="3">
        <v>4.6600000000000003E-2</v>
      </c>
      <c r="N6" s="2">
        <v>0</v>
      </c>
      <c r="O6" s="3">
        <v>0.26100000000000001</v>
      </c>
      <c r="P6" s="3">
        <v>0.21299999999999999</v>
      </c>
      <c r="Q6" s="3">
        <v>0.214</v>
      </c>
      <c r="R6" s="3">
        <v>0.14799999999999999</v>
      </c>
      <c r="S6" s="3">
        <v>0.20200000000000001</v>
      </c>
      <c r="T6" s="3">
        <v>0.16600000000000001</v>
      </c>
      <c r="U6" s="2">
        <v>0</v>
      </c>
      <c r="V6" s="3">
        <v>9.4100000000000003E-2</v>
      </c>
      <c r="W6" s="3">
        <v>0.13100000000000001</v>
      </c>
      <c r="X6" s="3">
        <v>8.8200000000000001E-2</v>
      </c>
      <c r="Y6" s="3">
        <v>0.17</v>
      </c>
      <c r="Z6" s="3">
        <v>4.2999999999999997E-2</v>
      </c>
      <c r="AA6" s="3">
        <v>5.5399999999999998E-2</v>
      </c>
      <c r="AB6" s="2">
        <v>0</v>
      </c>
      <c r="AC6" s="3">
        <v>2.3699999999999999E-2</v>
      </c>
      <c r="AD6" s="3">
        <v>4.1000000000000002E-2</v>
      </c>
      <c r="AE6" s="3">
        <v>2.6700000000000002E-2</v>
      </c>
      <c r="AF6" s="3">
        <v>2.8500000000000001E-2</v>
      </c>
      <c r="AG6" s="3">
        <v>1.3599999999999999E-2</v>
      </c>
      <c r="AH6" s="3">
        <v>1.6799999999999999E-2</v>
      </c>
      <c r="AI6" s="2">
        <v>0</v>
      </c>
      <c r="AJ6" s="3">
        <v>4.9299999999999997E-2</v>
      </c>
      <c r="AK6" s="3">
        <v>0.10100000000000001</v>
      </c>
      <c r="AL6" s="3">
        <v>6.8400000000000002E-2</v>
      </c>
      <c r="AM6" s="3">
        <v>8.4400000000000003E-2</v>
      </c>
      <c r="AN6" s="3">
        <v>4.2500000000000003E-2</v>
      </c>
      <c r="AO6" s="3">
        <v>4.9000000000000002E-2</v>
      </c>
      <c r="AP6" s="2">
        <v>0</v>
      </c>
      <c r="AQ6" s="3">
        <v>2.2200000000000001E-2</v>
      </c>
      <c r="AR6" s="3">
        <v>4.4400000000000002E-2</v>
      </c>
      <c r="AS6" s="3">
        <v>3.56E-2</v>
      </c>
      <c r="AT6" s="3">
        <v>2.3400000000000001E-2</v>
      </c>
      <c r="AU6" s="3">
        <v>7.0000000000000001E-3</v>
      </c>
      <c r="AV6" s="3">
        <v>3.0200000000000001E-2</v>
      </c>
      <c r="AW6" s="3">
        <v>6.0999999999999999E-2</v>
      </c>
      <c r="AX6" s="3">
        <v>6.7199999999999996E-2</v>
      </c>
    </row>
    <row r="7" spans="1:50" x14ac:dyDescent="0.2">
      <c r="A7" s="1" t="s">
        <v>27</v>
      </c>
      <c r="B7" s="2">
        <v>0</v>
      </c>
      <c r="C7" s="3">
        <v>8.8000000000000003E-4</v>
      </c>
      <c r="D7" s="2">
        <v>0</v>
      </c>
      <c r="E7" s="3">
        <v>4.0000000000000002E-4</v>
      </c>
      <c r="F7" s="2">
        <v>0</v>
      </c>
      <c r="G7" s="2">
        <v>0</v>
      </c>
      <c r="H7" s="3">
        <v>4.5999999999999999E-3</v>
      </c>
      <c r="I7" s="3">
        <v>4.1000000000000003E-3</v>
      </c>
      <c r="J7" s="3">
        <v>4.5999999999999999E-3</v>
      </c>
      <c r="K7" s="3">
        <v>7.9000000000000001E-4</v>
      </c>
      <c r="L7" s="2">
        <v>0</v>
      </c>
      <c r="M7" s="2">
        <v>0</v>
      </c>
      <c r="N7" s="2">
        <v>0</v>
      </c>
      <c r="O7" s="3">
        <v>4.3E-3</v>
      </c>
      <c r="P7" s="3">
        <v>4.3499999999999997E-2</v>
      </c>
      <c r="Q7" s="3">
        <v>7.3000000000000001E-3</v>
      </c>
      <c r="R7" s="3">
        <v>4.4999999999999999E-4</v>
      </c>
      <c r="S7" s="3">
        <v>3.1800000000000002E-2</v>
      </c>
      <c r="T7" s="3">
        <v>8.5999999999999998E-4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3">
        <v>2E-3</v>
      </c>
      <c r="AD7" s="3">
        <v>2.3E-3</v>
      </c>
      <c r="AE7" s="3">
        <v>1.1999999999999999E-3</v>
      </c>
      <c r="AF7" s="3">
        <v>1.1000000000000001E-3</v>
      </c>
      <c r="AG7" s="4">
        <v>9.5199999999999997E-5</v>
      </c>
      <c r="AH7" s="3">
        <v>1.6000000000000001E-4</v>
      </c>
      <c r="AI7" s="2">
        <v>0</v>
      </c>
      <c r="AJ7" s="4">
        <v>9.7200000000000004E-5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3">
        <v>2.3999999999999998E-3</v>
      </c>
      <c r="AX7" s="3">
        <v>7.9000000000000008E-3</v>
      </c>
    </row>
    <row r="8" spans="1:50" x14ac:dyDescent="0.2">
      <c r="A8" s="1" t="s">
        <v>28</v>
      </c>
      <c r="B8" s="2">
        <v>0</v>
      </c>
      <c r="C8" s="3">
        <v>1.95E-2</v>
      </c>
      <c r="D8" s="4">
        <v>9.98E-5</v>
      </c>
      <c r="E8" s="3">
        <v>8.0000000000000004E-4</v>
      </c>
      <c r="F8" s="2">
        <v>0</v>
      </c>
      <c r="G8" s="2">
        <v>0</v>
      </c>
      <c r="H8" s="3">
        <v>1.1000000000000001E-3</v>
      </c>
      <c r="I8" s="3">
        <v>1E-3</v>
      </c>
      <c r="J8" s="3">
        <v>1.1000000000000001E-3</v>
      </c>
      <c r="K8" s="3">
        <v>7.9000000000000001E-4</v>
      </c>
      <c r="L8" s="3">
        <v>1.2999999999999999E-3</v>
      </c>
      <c r="M8" s="3">
        <v>1.2999999999999999E-3</v>
      </c>
      <c r="N8" s="2">
        <v>0</v>
      </c>
      <c r="O8" s="3">
        <v>9.3000000000000005E-4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3">
        <v>3.4000000000000002E-4</v>
      </c>
      <c r="Y8" s="2">
        <v>0</v>
      </c>
      <c r="Z8" s="2">
        <v>0</v>
      </c>
      <c r="AA8" s="3">
        <v>3.2000000000000003E-4</v>
      </c>
      <c r="AB8" s="2">
        <v>0</v>
      </c>
      <c r="AC8" s="3">
        <v>3.5E-4</v>
      </c>
      <c r="AD8" s="3">
        <v>4.6000000000000001E-4</v>
      </c>
      <c r="AE8" s="3">
        <v>2.2000000000000001E-4</v>
      </c>
      <c r="AF8" s="3">
        <v>7.6000000000000004E-4</v>
      </c>
      <c r="AG8" s="3">
        <v>2.9E-4</v>
      </c>
      <c r="AH8" s="4">
        <v>7.7899999999999996E-5</v>
      </c>
      <c r="AI8" s="2">
        <v>0</v>
      </c>
      <c r="AJ8" s="3">
        <v>1.1999999999999999E-3</v>
      </c>
      <c r="AK8" s="3">
        <v>1.2999999999999999E-3</v>
      </c>
      <c r="AL8" s="3">
        <v>4.2999999999999999E-4</v>
      </c>
      <c r="AM8" s="3">
        <v>5.9000000000000003E-4</v>
      </c>
      <c r="AN8" s="3">
        <v>2E-3</v>
      </c>
      <c r="AO8" s="3">
        <v>1.1000000000000001E-3</v>
      </c>
      <c r="AP8" s="2">
        <v>0</v>
      </c>
      <c r="AQ8" s="3">
        <v>3.1E-4</v>
      </c>
      <c r="AR8" s="3">
        <v>6.3000000000000003E-4</v>
      </c>
      <c r="AS8" s="3">
        <v>1.7000000000000001E-4</v>
      </c>
      <c r="AT8" s="2">
        <v>0</v>
      </c>
      <c r="AU8" s="2">
        <v>0</v>
      </c>
      <c r="AV8" s="4">
        <v>5.77E-5</v>
      </c>
      <c r="AW8" s="3">
        <v>8.0000000000000004E-4</v>
      </c>
      <c r="AX8" s="3">
        <v>2.8999999999999998E-3</v>
      </c>
    </row>
    <row r="9" spans="1:50" x14ac:dyDescent="0.2">
      <c r="A9" s="1" t="s">
        <v>29</v>
      </c>
      <c r="B9" s="2">
        <v>0</v>
      </c>
      <c r="C9" s="3">
        <v>2.2000000000000001E-4</v>
      </c>
      <c r="D9" s="2">
        <v>0</v>
      </c>
      <c r="E9" s="3">
        <v>2.8E-3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3">
        <v>3.1E-4</v>
      </c>
      <c r="P9" s="3">
        <v>9.5E-4</v>
      </c>
      <c r="Q9" s="3">
        <v>3.6000000000000002E-4</v>
      </c>
      <c r="R9" s="2">
        <v>0</v>
      </c>
      <c r="S9" s="2">
        <v>0</v>
      </c>
      <c r="T9" s="3">
        <v>1.6999999999999999E-3</v>
      </c>
      <c r="U9" s="2">
        <v>0</v>
      </c>
      <c r="V9" s="3">
        <v>1.1999999999999999E-3</v>
      </c>
      <c r="W9" s="3">
        <v>3.8E-3</v>
      </c>
      <c r="X9" s="3">
        <v>1E-3</v>
      </c>
      <c r="Y9" s="3">
        <v>8.2000000000000007E-3</v>
      </c>
      <c r="Z9" s="3">
        <v>3.8E-3</v>
      </c>
      <c r="AA9" s="3">
        <v>2.5999999999999999E-3</v>
      </c>
      <c r="AB9" s="2">
        <v>0</v>
      </c>
      <c r="AC9" s="3">
        <v>1.4E-3</v>
      </c>
      <c r="AD9" s="3">
        <v>4.6000000000000001E-4</v>
      </c>
      <c r="AE9" s="3">
        <v>2.5999999999999999E-3</v>
      </c>
      <c r="AF9" s="3">
        <v>1.1000000000000001E-3</v>
      </c>
      <c r="AG9" s="3">
        <v>6.7000000000000002E-4</v>
      </c>
      <c r="AH9" s="3">
        <v>1.8E-3</v>
      </c>
      <c r="AI9" s="2">
        <v>0</v>
      </c>
      <c r="AJ9" s="3">
        <v>3.8999999999999998E-3</v>
      </c>
      <c r="AK9" s="3">
        <v>5.7000000000000002E-3</v>
      </c>
      <c r="AL9" s="3">
        <v>3.7000000000000002E-3</v>
      </c>
      <c r="AM9" s="3">
        <v>2.3999999999999998E-3</v>
      </c>
      <c r="AN9" s="3">
        <v>4.8999999999999998E-3</v>
      </c>
      <c r="AO9" s="3">
        <v>3.2000000000000002E-3</v>
      </c>
      <c r="AP9" s="2">
        <v>0</v>
      </c>
      <c r="AQ9" s="3">
        <v>7.6999999999999996E-4</v>
      </c>
      <c r="AR9" s="3">
        <v>1.2999999999999999E-3</v>
      </c>
      <c r="AS9" s="3">
        <v>9.2000000000000003E-4</v>
      </c>
      <c r="AT9" s="3">
        <v>9.8999999999999999E-4</v>
      </c>
      <c r="AU9" s="3">
        <v>5.1000000000000004E-4</v>
      </c>
      <c r="AV9" s="3">
        <v>8.7000000000000001E-4</v>
      </c>
      <c r="AW9" s="3">
        <v>1.4E-3</v>
      </c>
      <c r="AX9" s="3">
        <v>1.8E-3</v>
      </c>
    </row>
    <row r="10" spans="1:50" x14ac:dyDescent="0.2">
      <c r="A10" s="1" t="s">
        <v>30</v>
      </c>
      <c r="B10" s="2">
        <v>0</v>
      </c>
      <c r="C10" s="3">
        <v>8.4099999999999994E-2</v>
      </c>
      <c r="D10" s="3">
        <v>2.5000000000000001E-4</v>
      </c>
      <c r="E10" s="3">
        <v>6.9199999999999998E-2</v>
      </c>
      <c r="F10" s="2">
        <v>0</v>
      </c>
      <c r="G10" s="2">
        <v>0</v>
      </c>
      <c r="H10" s="3">
        <v>7.3200000000000001E-2</v>
      </c>
      <c r="I10" s="3">
        <v>8.1799999999999998E-2</v>
      </c>
      <c r="J10" s="3">
        <v>7.3200000000000001E-2</v>
      </c>
      <c r="K10" s="3" t="s">
        <v>40</v>
      </c>
      <c r="L10" s="3">
        <v>0.13700000000000001</v>
      </c>
      <c r="M10" s="3">
        <v>0.13700000000000001</v>
      </c>
      <c r="N10" s="2">
        <v>0</v>
      </c>
      <c r="O10" s="3">
        <v>3.9399999999999998E-2</v>
      </c>
      <c r="P10" s="3">
        <v>4.6399999999999997E-2</v>
      </c>
      <c r="Q10" s="3">
        <v>6.1199999999999997E-2</v>
      </c>
      <c r="R10" s="3">
        <v>9.0899999999999995E-2</v>
      </c>
      <c r="S10" s="3">
        <v>5.9700000000000003E-2</v>
      </c>
      <c r="T10" s="3">
        <v>6.7500000000000004E-2</v>
      </c>
      <c r="U10" s="2">
        <v>0</v>
      </c>
      <c r="V10" s="3">
        <v>0.111</v>
      </c>
      <c r="W10" s="3">
        <v>0.129</v>
      </c>
      <c r="X10" s="3">
        <v>0.129</v>
      </c>
      <c r="Y10" s="3">
        <v>0.16</v>
      </c>
      <c r="Z10" s="3">
        <v>0.16400000000000001</v>
      </c>
      <c r="AA10" s="3">
        <v>0.14799999999999999</v>
      </c>
      <c r="AB10" s="2">
        <v>0</v>
      </c>
      <c r="AC10" s="3">
        <v>0.16300000000000001</v>
      </c>
      <c r="AD10" s="3">
        <v>0.17100000000000001</v>
      </c>
      <c r="AE10" s="3">
        <v>0.17699999999999999</v>
      </c>
      <c r="AF10" s="3">
        <v>0.13600000000000001</v>
      </c>
      <c r="AG10" s="3">
        <v>0.151</v>
      </c>
      <c r="AH10" s="3">
        <v>0.154</v>
      </c>
      <c r="AI10" s="2">
        <v>0</v>
      </c>
      <c r="AJ10" s="3">
        <v>0.109</v>
      </c>
      <c r="AK10" s="3">
        <v>9.1700000000000004E-2</v>
      </c>
      <c r="AL10" s="3">
        <v>9.7500000000000003E-2</v>
      </c>
      <c r="AM10" s="3">
        <v>9.01E-2</v>
      </c>
      <c r="AN10" s="3">
        <v>0.13100000000000001</v>
      </c>
      <c r="AO10" s="3">
        <v>0.126</v>
      </c>
      <c r="AP10" s="2">
        <v>0</v>
      </c>
      <c r="AQ10" s="3">
        <v>6.5299999999999997E-2</v>
      </c>
      <c r="AR10" s="3">
        <v>5.91E-2</v>
      </c>
      <c r="AS10" s="3">
        <v>6.6400000000000001E-2</v>
      </c>
      <c r="AT10" s="3">
        <v>8.6999999999999994E-2</v>
      </c>
      <c r="AU10" s="3">
        <v>5.4100000000000002E-2</v>
      </c>
      <c r="AV10" s="3">
        <v>7.7100000000000002E-2</v>
      </c>
      <c r="AW10" s="3">
        <v>8.3400000000000002E-2</v>
      </c>
      <c r="AX10" s="3">
        <v>5.5199999999999999E-2</v>
      </c>
    </row>
    <row r="11" spans="1:50" x14ac:dyDescent="0.2">
      <c r="A11" s="1" t="s">
        <v>31</v>
      </c>
      <c r="B11" s="2">
        <v>0</v>
      </c>
      <c r="C11" s="3">
        <v>6.6E-4</v>
      </c>
      <c r="D11" s="3">
        <v>4.7000000000000002E-3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3">
        <v>4.2999999999999999E-4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3">
        <v>1.2E-4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3">
        <v>1.2999999999999999E-4</v>
      </c>
      <c r="AX11" s="3">
        <v>7.1000000000000002E-4</v>
      </c>
    </row>
    <row r="12" spans="1:50" x14ac:dyDescent="0.2">
      <c r="A12" s="1" t="s">
        <v>32</v>
      </c>
      <c r="B12" s="3">
        <v>0.99399999999999999</v>
      </c>
      <c r="C12" s="3">
        <v>9.06E-2</v>
      </c>
      <c r="D12" s="3">
        <v>0.66500000000000004</v>
      </c>
      <c r="E12" s="3">
        <v>5.1200000000000002E-2</v>
      </c>
      <c r="F12" s="3">
        <v>0.997</v>
      </c>
      <c r="G12" s="3">
        <v>0.996</v>
      </c>
      <c r="H12" s="3">
        <v>3.78E-2</v>
      </c>
      <c r="I12" s="3">
        <v>4.9299999999999997E-2</v>
      </c>
      <c r="J12" s="3">
        <v>3.78E-2</v>
      </c>
      <c r="K12" s="3">
        <v>5.21E-2</v>
      </c>
      <c r="L12" s="3">
        <v>4.9099999999999998E-2</v>
      </c>
      <c r="M12" s="3">
        <v>4.9099999999999998E-2</v>
      </c>
      <c r="N12" s="3">
        <v>0.997</v>
      </c>
      <c r="O12" s="3">
        <v>0.15</v>
      </c>
      <c r="P12" s="3">
        <v>8.5099999999999995E-2</v>
      </c>
      <c r="Q12" s="3">
        <v>0.16800000000000001</v>
      </c>
      <c r="R12" s="3">
        <v>0.19800000000000001</v>
      </c>
      <c r="S12" s="3">
        <v>0.123</v>
      </c>
      <c r="T12" s="3">
        <v>0.19700000000000001</v>
      </c>
      <c r="U12" s="3">
        <v>0.99199999999999999</v>
      </c>
      <c r="V12" s="3">
        <v>0.28499999999999998</v>
      </c>
      <c r="W12" s="3">
        <v>0.128</v>
      </c>
      <c r="X12" s="3">
        <v>0.27600000000000002</v>
      </c>
      <c r="Y12" s="3">
        <v>0.18099999999999999</v>
      </c>
      <c r="Z12" s="3">
        <v>0.30099999999999999</v>
      </c>
      <c r="AA12" s="3">
        <v>0.316</v>
      </c>
      <c r="AB12" s="3">
        <v>0.98299999999999998</v>
      </c>
      <c r="AC12" s="3">
        <v>0.432</v>
      </c>
      <c r="AD12" s="3">
        <v>0.33200000000000002</v>
      </c>
      <c r="AE12" s="3">
        <v>0.35699999999999998</v>
      </c>
      <c r="AF12" s="3">
        <v>0.35299999999999998</v>
      </c>
      <c r="AG12" s="3">
        <v>0.505</v>
      </c>
      <c r="AH12" s="3">
        <v>0.40100000000000002</v>
      </c>
      <c r="AI12" s="3">
        <v>0.98599999999999999</v>
      </c>
      <c r="AJ12" s="3">
        <v>0.33600000000000002</v>
      </c>
      <c r="AK12" s="3">
        <v>0.20499999999999999</v>
      </c>
      <c r="AL12" s="3">
        <v>0.20599999999999999</v>
      </c>
      <c r="AM12" s="3">
        <v>0.23100000000000001</v>
      </c>
      <c r="AN12" s="3">
        <v>0.35199999999999998</v>
      </c>
      <c r="AO12" s="3">
        <v>0.186</v>
      </c>
      <c r="AP12" s="3">
        <v>0.995</v>
      </c>
      <c r="AQ12" s="3">
        <v>0.56999999999999995</v>
      </c>
      <c r="AR12" s="3">
        <v>0.39600000000000002</v>
      </c>
      <c r="AS12" s="3">
        <v>0.433</v>
      </c>
      <c r="AT12" s="3">
        <v>0.371</v>
      </c>
      <c r="AU12" s="3">
        <v>0.77</v>
      </c>
      <c r="AV12" s="3">
        <v>0.39500000000000002</v>
      </c>
      <c r="AW12" s="3">
        <v>0.40400000000000003</v>
      </c>
      <c r="AX12" s="3">
        <v>0.31900000000000001</v>
      </c>
    </row>
    <row r="13" spans="1:50" x14ac:dyDescent="0.2">
      <c r="A13" s="1" t="s">
        <v>33</v>
      </c>
      <c r="B13" s="2">
        <v>0</v>
      </c>
      <c r="C13" s="3">
        <v>0.21</v>
      </c>
      <c r="D13" s="3">
        <v>0.30299999999999999</v>
      </c>
      <c r="E13" s="3">
        <v>0.61499999999999999</v>
      </c>
      <c r="F13" s="2">
        <v>0</v>
      </c>
      <c r="G13" s="3">
        <v>4.3E-3</v>
      </c>
      <c r="H13" s="3">
        <v>7.0900000000000005E-2</v>
      </c>
      <c r="I13" s="3">
        <v>8.3799999999999999E-2</v>
      </c>
      <c r="J13" s="3">
        <v>7.0900000000000005E-2</v>
      </c>
      <c r="K13" s="3">
        <v>7.1099999999999997E-2</v>
      </c>
      <c r="L13" s="3">
        <v>9.5699999999999993E-2</v>
      </c>
      <c r="M13" s="3">
        <v>9.5699999999999993E-2</v>
      </c>
      <c r="N13" s="2">
        <v>0</v>
      </c>
      <c r="O13" s="3">
        <v>0.21199999999999999</v>
      </c>
      <c r="P13" s="3">
        <v>0.186</v>
      </c>
      <c r="Q13" s="3">
        <v>0.245</v>
      </c>
      <c r="R13" s="3">
        <v>0.27100000000000002</v>
      </c>
      <c r="S13" s="3">
        <v>0.24399999999999999</v>
      </c>
      <c r="T13" s="3">
        <v>0.32700000000000001</v>
      </c>
      <c r="U13" s="3">
        <v>1.1999999999999999E-3</v>
      </c>
      <c r="V13" s="3">
        <v>0.32</v>
      </c>
      <c r="W13" s="3">
        <v>0.40100000000000002</v>
      </c>
      <c r="X13" s="3">
        <v>0.35399999999999998</v>
      </c>
      <c r="Y13" s="3">
        <v>0.28100000000000003</v>
      </c>
      <c r="Z13" s="3">
        <v>0.32700000000000001</v>
      </c>
      <c r="AA13" s="3">
        <v>0.35399999999999998</v>
      </c>
      <c r="AB13" s="2">
        <v>0</v>
      </c>
      <c r="AC13" s="3">
        <v>0.153</v>
      </c>
      <c r="AD13" s="3">
        <v>0.18099999999999999</v>
      </c>
      <c r="AE13" s="3">
        <v>0.18099999999999999</v>
      </c>
      <c r="AF13" s="3">
        <v>0.18</v>
      </c>
      <c r="AG13" s="3">
        <v>0.14499999999999999</v>
      </c>
      <c r="AH13" s="3">
        <v>0.16800000000000001</v>
      </c>
      <c r="AI13" s="2">
        <v>0</v>
      </c>
      <c r="AJ13" s="3">
        <v>4.82E-2</v>
      </c>
      <c r="AK13" s="3">
        <v>7.3800000000000004E-2</v>
      </c>
      <c r="AL13" s="3">
        <v>3.9199999999999999E-2</v>
      </c>
      <c r="AM13" s="3">
        <v>6.7599999999999993E-2</v>
      </c>
      <c r="AN13" s="3">
        <v>4.3099999999999999E-2</v>
      </c>
      <c r="AO13" s="3">
        <v>4.3200000000000002E-2</v>
      </c>
      <c r="AP13" s="2">
        <v>0</v>
      </c>
      <c r="AQ13" s="3">
        <v>1.46E-2</v>
      </c>
      <c r="AR13" s="3">
        <v>2.47E-2</v>
      </c>
      <c r="AS13" s="3">
        <v>1.34E-2</v>
      </c>
      <c r="AT13" s="3">
        <v>2.4899999999999999E-2</v>
      </c>
      <c r="AU13" s="3">
        <v>1.7899999999999999E-2</v>
      </c>
      <c r="AV13" s="3">
        <v>1.4500000000000001E-2</v>
      </c>
      <c r="AW13" s="3">
        <v>0.14199999999999999</v>
      </c>
      <c r="AX13" s="3">
        <v>0.14299999999999999</v>
      </c>
    </row>
    <row r="14" spans="1:50" x14ac:dyDescent="0.2">
      <c r="A14" s="1" t="s">
        <v>34</v>
      </c>
      <c r="B14" s="2">
        <v>0</v>
      </c>
      <c r="C14" s="3">
        <v>7.2300000000000003E-2</v>
      </c>
      <c r="D14" s="3">
        <v>5.5000000000000003E-4</v>
      </c>
      <c r="E14" s="3">
        <v>1.1999999999999999E-3</v>
      </c>
      <c r="F14" s="2">
        <v>0</v>
      </c>
      <c r="G14" s="2">
        <v>0</v>
      </c>
      <c r="H14" s="3">
        <v>3.3999999999999998E-3</v>
      </c>
      <c r="I14" s="3">
        <v>2E-3</v>
      </c>
      <c r="J14" s="3">
        <v>3.3999999999999998E-3</v>
      </c>
      <c r="K14" s="3">
        <v>7.9000000000000001E-4</v>
      </c>
      <c r="L14" s="3">
        <v>6.3000000000000003E-4</v>
      </c>
      <c r="M14" s="3">
        <v>6.3000000000000003E-4</v>
      </c>
      <c r="N14" s="2">
        <v>0</v>
      </c>
      <c r="O14" s="3">
        <v>6.2E-4</v>
      </c>
      <c r="P14" s="3">
        <v>1.9E-3</v>
      </c>
      <c r="Q14" s="3">
        <v>1.5E-3</v>
      </c>
      <c r="R14" s="3">
        <v>8.9999999999999998E-4</v>
      </c>
      <c r="S14" s="2">
        <v>0</v>
      </c>
      <c r="T14" s="3">
        <v>1.2999999999999999E-3</v>
      </c>
      <c r="U14" s="2">
        <v>0</v>
      </c>
      <c r="V14" s="3">
        <v>2.3E-3</v>
      </c>
      <c r="W14" s="3">
        <v>5.0000000000000001E-3</v>
      </c>
      <c r="X14" s="3">
        <v>1.6999999999999999E-3</v>
      </c>
      <c r="Y14" s="3">
        <v>3.5000000000000001E-3</v>
      </c>
      <c r="Z14" s="3">
        <v>4.4999999999999997E-3</v>
      </c>
      <c r="AA14" s="3">
        <v>2.3E-3</v>
      </c>
      <c r="AB14" s="2">
        <v>0</v>
      </c>
      <c r="AC14" s="3">
        <v>1.2E-4</v>
      </c>
      <c r="AD14" s="2">
        <v>0</v>
      </c>
      <c r="AE14" s="2">
        <v>0</v>
      </c>
      <c r="AF14" s="3">
        <v>3.8000000000000002E-4</v>
      </c>
      <c r="AG14" s="4">
        <v>9.5199999999999997E-5</v>
      </c>
      <c r="AH14" s="2">
        <v>0</v>
      </c>
      <c r="AI14" s="3">
        <v>1.4E-3</v>
      </c>
      <c r="AJ14" s="3">
        <v>2.8E-3</v>
      </c>
      <c r="AK14" s="3">
        <v>1.1599999999999999E-2</v>
      </c>
      <c r="AL14" s="3">
        <v>4.7999999999999996E-3</v>
      </c>
      <c r="AM14" s="3">
        <v>0.01</v>
      </c>
      <c r="AN14" s="3">
        <v>4.1999999999999997E-3</v>
      </c>
      <c r="AO14" s="3">
        <v>5.4999999999999997E-3</v>
      </c>
      <c r="AP14" s="2">
        <v>0</v>
      </c>
      <c r="AQ14" s="2">
        <v>0</v>
      </c>
      <c r="AR14" s="3">
        <v>3.1E-4</v>
      </c>
      <c r="AS14" s="4">
        <v>5.7800000000000002E-5</v>
      </c>
      <c r="AT14" s="3">
        <v>2.5000000000000001E-4</v>
      </c>
      <c r="AU14" s="2">
        <v>0</v>
      </c>
      <c r="AV14" s="3">
        <v>2.0999999999999999E-3</v>
      </c>
      <c r="AW14" s="3">
        <v>3.3E-3</v>
      </c>
      <c r="AX14" s="3">
        <v>1.0800000000000001E-2</v>
      </c>
    </row>
    <row r="15" spans="1:50" x14ac:dyDescent="0.2">
      <c r="A15" s="1" t="s">
        <v>35</v>
      </c>
      <c r="B15" s="2">
        <v>0</v>
      </c>
      <c r="C15" s="3">
        <v>0.157</v>
      </c>
      <c r="D15" s="3">
        <v>1.6000000000000001E-3</v>
      </c>
      <c r="E15" s="3">
        <v>0.01</v>
      </c>
      <c r="F15" s="2">
        <v>0</v>
      </c>
      <c r="G15" s="2">
        <v>0</v>
      </c>
      <c r="H15" s="3">
        <v>1.1000000000000001E-3</v>
      </c>
      <c r="I15" s="3">
        <v>5.5999999999999999E-3</v>
      </c>
      <c r="J15" s="3">
        <v>1.1000000000000001E-3</v>
      </c>
      <c r="K15" s="3">
        <v>3.2000000000000002E-3</v>
      </c>
      <c r="L15" s="3">
        <v>3.8E-3</v>
      </c>
      <c r="M15" s="3">
        <v>3.8E-3</v>
      </c>
      <c r="N15" s="2">
        <v>0</v>
      </c>
      <c r="O15" s="3">
        <v>6.4999999999999997E-3</v>
      </c>
      <c r="P15" s="3">
        <v>6.6E-3</v>
      </c>
      <c r="Q15" s="3">
        <v>1.0200000000000001E-2</v>
      </c>
      <c r="R15" s="3">
        <v>3.5999999999999999E-3</v>
      </c>
      <c r="S15" s="3">
        <v>5.3E-3</v>
      </c>
      <c r="T15" s="3">
        <v>4.3E-3</v>
      </c>
      <c r="U15" s="2">
        <v>0</v>
      </c>
      <c r="V15" s="3">
        <v>3.15E-2</v>
      </c>
      <c r="W15" s="3">
        <v>2.12E-2</v>
      </c>
      <c r="X15" s="3">
        <v>4.24E-2</v>
      </c>
      <c r="Y15" s="3">
        <v>2.58E-2</v>
      </c>
      <c r="Z15" s="3">
        <v>1.3599999999999999E-2</v>
      </c>
      <c r="AA15" s="3">
        <v>1.8700000000000001E-2</v>
      </c>
      <c r="AB15" s="2">
        <v>0</v>
      </c>
      <c r="AC15" s="3">
        <v>0.112</v>
      </c>
      <c r="AD15" s="3">
        <v>0.14399999999999999</v>
      </c>
      <c r="AE15" s="3">
        <v>0.16800000000000001</v>
      </c>
      <c r="AF15" s="3">
        <v>0.158</v>
      </c>
      <c r="AG15" s="3">
        <v>6.88E-2</v>
      </c>
      <c r="AH15" s="3">
        <v>0.16200000000000001</v>
      </c>
      <c r="AI15" s="2">
        <v>0</v>
      </c>
      <c r="AJ15" s="3">
        <v>0.34200000000000003</v>
      </c>
      <c r="AK15" s="3">
        <v>0.32</v>
      </c>
      <c r="AL15" s="3">
        <v>0.45700000000000002</v>
      </c>
      <c r="AM15" s="3">
        <v>0.36799999999999999</v>
      </c>
      <c r="AN15" s="3">
        <v>0.28499999999999998</v>
      </c>
      <c r="AO15" s="3">
        <v>0.47699999999999998</v>
      </c>
      <c r="AP15" s="2">
        <v>0</v>
      </c>
      <c r="AQ15" s="3">
        <v>0.29399999999999998</v>
      </c>
      <c r="AR15" s="3">
        <v>0.39900000000000002</v>
      </c>
      <c r="AS15" s="3">
        <v>0.42499999999999999</v>
      </c>
      <c r="AT15" s="3">
        <v>0.45100000000000001</v>
      </c>
      <c r="AU15" s="3">
        <v>0.127</v>
      </c>
      <c r="AV15" s="3">
        <v>0.45800000000000002</v>
      </c>
    </row>
  </sheetData>
  <mergeCells count="8">
    <mergeCell ref="AI1:AO1"/>
    <mergeCell ref="AP1:AV1"/>
    <mergeCell ref="B1:D1"/>
    <mergeCell ref="E1:F1"/>
    <mergeCell ref="G1:M1"/>
    <mergeCell ref="N1:T1"/>
    <mergeCell ref="U1:AA1"/>
    <mergeCell ref="AB1:A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9D72-154D-DB46-9292-CE5C70713914}">
  <dimension ref="A1:N46"/>
  <sheetViews>
    <sheetView workbookViewId="0">
      <selection sqref="A1:B1"/>
    </sheetView>
  </sheetViews>
  <sheetFormatPr baseColWidth="10" defaultRowHeight="16" x14ac:dyDescent="0.2"/>
  <sheetData>
    <row r="1" spans="1:14" x14ac:dyDescent="0.2">
      <c r="A1" t="s">
        <v>39</v>
      </c>
      <c r="B1" t="s">
        <v>37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38</v>
      </c>
    </row>
    <row r="2" spans="1:14" x14ac:dyDescent="0.2">
      <c r="A2" s="1" t="s">
        <v>9</v>
      </c>
      <c r="B2" s="1" t="s">
        <v>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0.99399999999999999</v>
      </c>
      <c r="K2">
        <v>0</v>
      </c>
      <c r="L2">
        <v>0</v>
      </c>
      <c r="M2">
        <v>0</v>
      </c>
      <c r="N2">
        <f t="shared" ref="N2:N46" si="0">1-SUM(C2:M2)</f>
        <v>6.0000000000000053E-3</v>
      </c>
    </row>
    <row r="3" spans="1:14" x14ac:dyDescent="0.2">
      <c r="A3" s="1" t="s">
        <v>10</v>
      </c>
      <c r="B3" s="1" t="s">
        <v>36</v>
      </c>
      <c r="C3">
        <v>9.9000000000000008E-3</v>
      </c>
      <c r="D3">
        <v>5.4600000000000003E-2</v>
      </c>
      <c r="E3">
        <v>2.2079999999999999E-2</v>
      </c>
      <c r="F3">
        <v>1.95E-2</v>
      </c>
      <c r="G3">
        <v>2.2000000000000001E-4</v>
      </c>
      <c r="H3">
        <v>8.4099999999999994E-2</v>
      </c>
      <c r="I3">
        <v>6.6E-4</v>
      </c>
      <c r="J3">
        <v>9.06E-2</v>
      </c>
      <c r="K3">
        <v>0.21</v>
      </c>
      <c r="L3">
        <v>7.2300000000000003E-2</v>
      </c>
      <c r="M3">
        <v>0.157</v>
      </c>
      <c r="N3">
        <f t="shared" si="0"/>
        <v>0.27903999999999995</v>
      </c>
    </row>
    <row r="4" spans="1:14" x14ac:dyDescent="0.2">
      <c r="A4" s="1" t="s">
        <v>11</v>
      </c>
      <c r="B4" s="1" t="s">
        <v>36</v>
      </c>
      <c r="C4">
        <v>2.3999999999999998E-3</v>
      </c>
      <c r="D4">
        <v>0</v>
      </c>
      <c r="E4">
        <v>0</v>
      </c>
      <c r="F4">
        <v>9.98E-5</v>
      </c>
      <c r="G4">
        <v>0</v>
      </c>
      <c r="H4">
        <v>2.5000000000000001E-4</v>
      </c>
      <c r="I4">
        <v>4.7000000000000002E-3</v>
      </c>
      <c r="J4">
        <v>0.66500000000000004</v>
      </c>
      <c r="K4">
        <v>0.30299999999999999</v>
      </c>
      <c r="L4">
        <v>5.5000000000000003E-4</v>
      </c>
      <c r="M4">
        <v>1.6000000000000001E-3</v>
      </c>
      <c r="N4">
        <f t="shared" si="0"/>
        <v>2.240019999999987E-2</v>
      </c>
    </row>
    <row r="5" spans="1:14" x14ac:dyDescent="0.2">
      <c r="A5" s="1" t="s">
        <v>12</v>
      </c>
      <c r="B5" s="1" t="s">
        <v>1</v>
      </c>
      <c r="C5">
        <v>2E-3</v>
      </c>
      <c r="D5">
        <v>3.4000000000000002E-2</v>
      </c>
      <c r="E5">
        <v>1.6400000000000001E-2</v>
      </c>
      <c r="F5">
        <v>8.0000000000000004E-4</v>
      </c>
      <c r="G5">
        <v>2.8E-3</v>
      </c>
      <c r="H5">
        <v>6.9199999999999998E-2</v>
      </c>
      <c r="I5">
        <v>0</v>
      </c>
      <c r="J5">
        <v>5.1200000000000002E-2</v>
      </c>
      <c r="K5">
        <v>0.61499999999999999</v>
      </c>
      <c r="L5">
        <v>1.1999999999999999E-3</v>
      </c>
      <c r="M5">
        <v>0.01</v>
      </c>
      <c r="N5">
        <f t="shared" si="0"/>
        <v>0.19740000000000002</v>
      </c>
    </row>
    <row r="6" spans="1:14" x14ac:dyDescent="0.2">
      <c r="A6" s="1" t="s">
        <v>9</v>
      </c>
      <c r="B6" s="1" t="s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0.997</v>
      </c>
      <c r="K6">
        <v>0</v>
      </c>
      <c r="L6">
        <v>0</v>
      </c>
      <c r="M6">
        <v>0</v>
      </c>
      <c r="N6">
        <f t="shared" si="0"/>
        <v>3.0000000000000027E-3</v>
      </c>
    </row>
    <row r="7" spans="1:14" x14ac:dyDescent="0.2">
      <c r="A7" s="1" t="s">
        <v>9</v>
      </c>
      <c r="B7" s="1" t="s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0.996</v>
      </c>
      <c r="K7">
        <v>4.3E-3</v>
      </c>
      <c r="L7">
        <v>0</v>
      </c>
      <c r="M7">
        <v>0</v>
      </c>
      <c r="N7">
        <f t="shared" si="0"/>
        <v>-2.9999999999996696E-4</v>
      </c>
    </row>
    <row r="8" spans="1:14" x14ac:dyDescent="0.2">
      <c r="A8" s="1" t="s">
        <v>13</v>
      </c>
      <c r="B8" s="1" t="s">
        <v>2</v>
      </c>
      <c r="C8">
        <v>5.7000000000000002E-3</v>
      </c>
      <c r="D8">
        <v>0.14549999999999999</v>
      </c>
      <c r="E8">
        <v>4.5999999999999999E-3</v>
      </c>
      <c r="F8">
        <v>1.1000000000000001E-3</v>
      </c>
      <c r="G8">
        <v>0</v>
      </c>
      <c r="H8">
        <v>7.3200000000000001E-2</v>
      </c>
      <c r="I8">
        <v>0</v>
      </c>
      <c r="J8">
        <v>3.78E-2</v>
      </c>
      <c r="K8">
        <v>7.0900000000000005E-2</v>
      </c>
      <c r="L8">
        <v>3.3999999999999998E-3</v>
      </c>
      <c r="M8">
        <v>1.1000000000000001E-3</v>
      </c>
      <c r="N8">
        <f t="shared" si="0"/>
        <v>0.65670000000000006</v>
      </c>
    </row>
    <row r="9" spans="1:14" x14ac:dyDescent="0.2">
      <c r="A9" s="1" t="s">
        <v>14</v>
      </c>
      <c r="B9" s="1" t="s">
        <v>2</v>
      </c>
      <c r="C9">
        <v>6.6E-3</v>
      </c>
      <c r="D9">
        <v>0.14579999999999999</v>
      </c>
      <c r="E9">
        <v>4.1000000000000003E-3</v>
      </c>
      <c r="F9">
        <v>1E-3</v>
      </c>
      <c r="G9">
        <v>0</v>
      </c>
      <c r="H9">
        <v>8.1799999999999998E-2</v>
      </c>
      <c r="I9">
        <v>0</v>
      </c>
      <c r="J9">
        <v>4.9299999999999997E-2</v>
      </c>
      <c r="K9">
        <v>8.3799999999999999E-2</v>
      </c>
      <c r="L9">
        <v>2E-3</v>
      </c>
      <c r="M9">
        <v>5.5999999999999999E-3</v>
      </c>
      <c r="N9">
        <f t="shared" si="0"/>
        <v>0.62000000000000011</v>
      </c>
    </row>
    <row r="10" spans="1:14" x14ac:dyDescent="0.2">
      <c r="A10" s="1" t="s">
        <v>15</v>
      </c>
      <c r="B10" s="1" t="s">
        <v>2</v>
      </c>
      <c r="C10">
        <v>2.3999999999999998E-3</v>
      </c>
      <c r="D10">
        <v>7.4199999999999988E-2</v>
      </c>
      <c r="E10">
        <v>7.9000000000000001E-4</v>
      </c>
      <c r="F10">
        <v>7.9000000000000001E-4</v>
      </c>
      <c r="G10">
        <v>0</v>
      </c>
      <c r="H10">
        <v>9.4E-2</v>
      </c>
      <c r="I10">
        <v>0</v>
      </c>
      <c r="J10">
        <v>5.21E-2</v>
      </c>
      <c r="K10">
        <v>7.1099999999999997E-2</v>
      </c>
      <c r="L10">
        <v>7.9000000000000001E-4</v>
      </c>
      <c r="M10">
        <v>3.2000000000000002E-3</v>
      </c>
      <c r="N10">
        <f t="shared" si="0"/>
        <v>0.70063000000000009</v>
      </c>
    </row>
    <row r="11" spans="1:14" x14ac:dyDescent="0.2">
      <c r="A11" s="1" t="s">
        <v>16</v>
      </c>
      <c r="B11" s="1" t="s">
        <v>2</v>
      </c>
      <c r="C11">
        <v>5.0000000000000001E-3</v>
      </c>
      <c r="D11">
        <v>8.1800000000000012E-2</v>
      </c>
      <c r="E11">
        <v>0</v>
      </c>
      <c r="F11">
        <v>1.2999999999999999E-3</v>
      </c>
      <c r="G11">
        <v>0</v>
      </c>
      <c r="H11">
        <v>0.13700000000000001</v>
      </c>
      <c r="I11">
        <v>0</v>
      </c>
      <c r="J11">
        <v>4.9099999999999998E-2</v>
      </c>
      <c r="K11">
        <v>9.5699999999999993E-2</v>
      </c>
      <c r="L11">
        <v>6.3000000000000003E-4</v>
      </c>
      <c r="M11">
        <v>3.8E-3</v>
      </c>
      <c r="N11">
        <f t="shared" si="0"/>
        <v>0.62566999999999995</v>
      </c>
    </row>
    <row r="12" spans="1:14" x14ac:dyDescent="0.2">
      <c r="A12" s="1" t="s">
        <v>9</v>
      </c>
      <c r="B12" s="1" t="s">
        <v>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0.997</v>
      </c>
      <c r="K12">
        <v>0</v>
      </c>
      <c r="L12">
        <v>0</v>
      </c>
      <c r="M12">
        <v>0</v>
      </c>
      <c r="N12">
        <f t="shared" si="0"/>
        <v>3.0000000000000027E-3</v>
      </c>
    </row>
    <row r="13" spans="1:14" x14ac:dyDescent="0.2">
      <c r="A13" s="1" t="s">
        <v>13</v>
      </c>
      <c r="B13" s="1" t="s">
        <v>3</v>
      </c>
      <c r="C13">
        <v>0</v>
      </c>
      <c r="D13">
        <v>0.34160000000000001</v>
      </c>
      <c r="E13">
        <v>2.5399999999999999E-2</v>
      </c>
      <c r="F13">
        <v>9.3000000000000005E-4</v>
      </c>
      <c r="G13">
        <v>3.1E-4</v>
      </c>
      <c r="H13">
        <v>3.9399999999999998E-2</v>
      </c>
      <c r="I13">
        <v>0</v>
      </c>
      <c r="J13">
        <v>0.15</v>
      </c>
      <c r="K13">
        <v>0.21199999999999999</v>
      </c>
      <c r="L13">
        <v>6.2E-4</v>
      </c>
      <c r="M13">
        <v>6.4999999999999997E-3</v>
      </c>
      <c r="N13">
        <f t="shared" si="0"/>
        <v>0.22324000000000022</v>
      </c>
    </row>
    <row r="14" spans="1:14" x14ac:dyDescent="0.2">
      <c r="A14" s="1" t="s">
        <v>17</v>
      </c>
      <c r="B14" s="1" t="s">
        <v>3</v>
      </c>
      <c r="C14">
        <v>0</v>
      </c>
      <c r="D14">
        <v>0.435</v>
      </c>
      <c r="E14">
        <v>7.1899999999999992E-2</v>
      </c>
      <c r="F14">
        <v>0</v>
      </c>
      <c r="G14">
        <v>9.5E-4</v>
      </c>
      <c r="H14">
        <v>4.6399999999999997E-2</v>
      </c>
      <c r="I14">
        <v>0</v>
      </c>
      <c r="J14">
        <v>8.5099999999999995E-2</v>
      </c>
      <c r="K14">
        <v>0.186</v>
      </c>
      <c r="L14">
        <v>1.9E-3</v>
      </c>
      <c r="M14">
        <v>6.6E-3</v>
      </c>
      <c r="N14">
        <f t="shared" si="0"/>
        <v>0.16614999999999991</v>
      </c>
    </row>
    <row r="15" spans="1:14" x14ac:dyDescent="0.2">
      <c r="A15" s="1" t="s">
        <v>18</v>
      </c>
      <c r="B15" s="1" t="s">
        <v>3</v>
      </c>
      <c r="C15">
        <v>0</v>
      </c>
      <c r="D15">
        <v>0.34099999999999997</v>
      </c>
      <c r="E15">
        <v>2.9100000000000001E-2</v>
      </c>
      <c r="F15">
        <v>0</v>
      </c>
      <c r="G15">
        <v>3.6000000000000002E-4</v>
      </c>
      <c r="H15">
        <v>6.1199999999999997E-2</v>
      </c>
      <c r="I15">
        <v>0</v>
      </c>
      <c r="J15">
        <v>0.16800000000000001</v>
      </c>
      <c r="K15">
        <v>0.245</v>
      </c>
      <c r="L15">
        <v>1.5E-3</v>
      </c>
      <c r="M15">
        <v>1.0200000000000001E-2</v>
      </c>
      <c r="N15">
        <f t="shared" si="0"/>
        <v>0.1436400000000001</v>
      </c>
    </row>
    <row r="16" spans="1:14" x14ac:dyDescent="0.2">
      <c r="A16" s="1" t="s">
        <v>19</v>
      </c>
      <c r="B16" s="1" t="s">
        <v>3</v>
      </c>
      <c r="C16">
        <v>0</v>
      </c>
      <c r="D16">
        <v>0.315</v>
      </c>
      <c r="E16">
        <v>6.2300000000000001E-2</v>
      </c>
      <c r="F16">
        <v>0</v>
      </c>
      <c r="G16">
        <v>0</v>
      </c>
      <c r="H16">
        <v>5.9700000000000003E-2</v>
      </c>
      <c r="I16">
        <v>0</v>
      </c>
      <c r="J16">
        <v>0.123</v>
      </c>
      <c r="K16">
        <v>0.24399999999999999</v>
      </c>
      <c r="L16">
        <v>0</v>
      </c>
      <c r="M16">
        <v>5.3E-3</v>
      </c>
      <c r="N16">
        <f t="shared" si="0"/>
        <v>0.19069999999999998</v>
      </c>
    </row>
    <row r="17" spans="1:14" x14ac:dyDescent="0.2">
      <c r="A17" s="1" t="s">
        <v>15</v>
      </c>
      <c r="B17" s="1" t="s">
        <v>3</v>
      </c>
      <c r="C17">
        <v>0</v>
      </c>
      <c r="D17">
        <v>0.17149999999999999</v>
      </c>
      <c r="E17">
        <v>1.175E-2</v>
      </c>
      <c r="F17">
        <v>0</v>
      </c>
      <c r="G17">
        <v>0</v>
      </c>
      <c r="H17">
        <v>9.0899999999999995E-2</v>
      </c>
      <c r="I17">
        <v>0</v>
      </c>
      <c r="J17">
        <v>0.19800000000000001</v>
      </c>
      <c r="K17">
        <v>0.27100000000000002</v>
      </c>
      <c r="L17">
        <v>8.9999999999999998E-4</v>
      </c>
      <c r="M17">
        <v>3.5999999999999999E-3</v>
      </c>
      <c r="N17">
        <f t="shared" si="0"/>
        <v>0.25234999999999996</v>
      </c>
    </row>
    <row r="18" spans="1:14" x14ac:dyDescent="0.2">
      <c r="A18" s="1" t="s">
        <v>20</v>
      </c>
      <c r="B18" s="1" t="s">
        <v>3</v>
      </c>
      <c r="C18">
        <v>0</v>
      </c>
      <c r="D18">
        <v>0.18230000000000002</v>
      </c>
      <c r="E18">
        <v>1.7159999999999998E-2</v>
      </c>
      <c r="F18">
        <v>0</v>
      </c>
      <c r="G18">
        <v>1.6999999999999999E-3</v>
      </c>
      <c r="H18">
        <v>6.7500000000000004E-2</v>
      </c>
      <c r="I18">
        <v>4.2999999999999999E-4</v>
      </c>
      <c r="J18">
        <v>0.19700000000000001</v>
      </c>
      <c r="K18">
        <v>0.32700000000000001</v>
      </c>
      <c r="L18">
        <v>1.2999999999999999E-3</v>
      </c>
      <c r="M18">
        <v>4.3E-3</v>
      </c>
      <c r="N18">
        <f t="shared" si="0"/>
        <v>0.20130999999999999</v>
      </c>
    </row>
    <row r="19" spans="1:14" x14ac:dyDescent="0.2">
      <c r="A19" s="1" t="s">
        <v>9</v>
      </c>
      <c r="B19" s="1" t="s">
        <v>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0.99199999999999999</v>
      </c>
      <c r="K19">
        <v>1.1999999999999999E-3</v>
      </c>
      <c r="L19">
        <v>0</v>
      </c>
      <c r="M19">
        <v>0</v>
      </c>
      <c r="N19">
        <f t="shared" si="0"/>
        <v>6.8000000000000282E-3</v>
      </c>
    </row>
    <row r="20" spans="1:14" x14ac:dyDescent="0.2">
      <c r="A20" s="1" t="s">
        <v>13</v>
      </c>
      <c r="B20" s="1" t="s">
        <v>4</v>
      </c>
      <c r="C20">
        <v>0</v>
      </c>
      <c r="D20">
        <v>9.5600000000000004E-2</v>
      </c>
      <c r="E20">
        <v>6.4999999999999997E-3</v>
      </c>
      <c r="F20">
        <v>0</v>
      </c>
      <c r="G20">
        <v>1.1999999999999999E-3</v>
      </c>
      <c r="H20">
        <v>0.111</v>
      </c>
      <c r="I20">
        <v>0</v>
      </c>
      <c r="J20">
        <v>0.28499999999999998</v>
      </c>
      <c r="K20">
        <v>0.32</v>
      </c>
      <c r="L20">
        <v>2.3E-3</v>
      </c>
      <c r="M20">
        <v>3.15E-2</v>
      </c>
      <c r="N20">
        <f t="shared" si="0"/>
        <v>0.14690000000000014</v>
      </c>
    </row>
    <row r="21" spans="1:14" x14ac:dyDescent="0.2">
      <c r="A21" s="1" t="s">
        <v>17</v>
      </c>
      <c r="B21" s="1" t="s">
        <v>4</v>
      </c>
      <c r="C21">
        <v>0</v>
      </c>
      <c r="D21">
        <v>0.13100000000000001</v>
      </c>
      <c r="E21">
        <v>0.01</v>
      </c>
      <c r="F21">
        <v>0</v>
      </c>
      <c r="G21">
        <v>3.8E-3</v>
      </c>
      <c r="H21">
        <v>0.129</v>
      </c>
      <c r="I21">
        <v>0</v>
      </c>
      <c r="J21">
        <v>0.128</v>
      </c>
      <c r="K21">
        <v>0.40100000000000002</v>
      </c>
      <c r="L21">
        <v>5.0000000000000001E-3</v>
      </c>
      <c r="M21">
        <v>2.12E-2</v>
      </c>
      <c r="N21">
        <f t="shared" si="0"/>
        <v>0.17099999999999993</v>
      </c>
    </row>
    <row r="22" spans="1:14" x14ac:dyDescent="0.2">
      <c r="A22" s="1" t="s">
        <v>18</v>
      </c>
      <c r="B22" s="1" t="s">
        <v>4</v>
      </c>
      <c r="C22">
        <v>0</v>
      </c>
      <c r="D22">
        <v>8.8540000000000008E-2</v>
      </c>
      <c r="E22">
        <v>7.7999999999999996E-3</v>
      </c>
      <c r="F22">
        <v>3.4000000000000002E-4</v>
      </c>
      <c r="G22">
        <v>1E-3</v>
      </c>
      <c r="H22">
        <v>0.129</v>
      </c>
      <c r="I22">
        <v>0</v>
      </c>
      <c r="J22">
        <v>0.27600000000000002</v>
      </c>
      <c r="K22">
        <v>0.35399999999999998</v>
      </c>
      <c r="L22">
        <v>1.6999999999999999E-3</v>
      </c>
      <c r="M22">
        <v>4.24E-2</v>
      </c>
      <c r="N22">
        <f t="shared" si="0"/>
        <v>9.9219999999999975E-2</v>
      </c>
    </row>
    <row r="23" spans="1:14" x14ac:dyDescent="0.2">
      <c r="A23" s="1" t="s">
        <v>19</v>
      </c>
      <c r="B23" s="1" t="s">
        <v>4</v>
      </c>
      <c r="C23">
        <v>0</v>
      </c>
      <c r="D23">
        <v>0.17</v>
      </c>
      <c r="E23">
        <v>8.2000000000000007E-3</v>
      </c>
      <c r="F23">
        <v>0</v>
      </c>
      <c r="G23">
        <v>8.2000000000000007E-3</v>
      </c>
      <c r="H23">
        <v>0.16</v>
      </c>
      <c r="I23">
        <v>0</v>
      </c>
      <c r="J23">
        <v>0.18099999999999999</v>
      </c>
      <c r="K23">
        <v>0.28100000000000003</v>
      </c>
      <c r="L23">
        <v>3.5000000000000001E-3</v>
      </c>
      <c r="M23">
        <v>2.58E-2</v>
      </c>
      <c r="N23">
        <f t="shared" si="0"/>
        <v>0.16229999999999989</v>
      </c>
    </row>
    <row r="24" spans="1:14" x14ac:dyDescent="0.2">
      <c r="A24" s="1" t="s">
        <v>15</v>
      </c>
      <c r="B24" s="1" t="s">
        <v>4</v>
      </c>
      <c r="C24">
        <v>0</v>
      </c>
      <c r="D24">
        <v>4.2999999999999997E-2</v>
      </c>
      <c r="E24">
        <v>6.4000000000000003E-3</v>
      </c>
      <c r="F24">
        <v>0</v>
      </c>
      <c r="G24">
        <v>3.8E-3</v>
      </c>
      <c r="H24">
        <v>0.16400000000000001</v>
      </c>
      <c r="I24">
        <v>0</v>
      </c>
      <c r="J24">
        <v>0.30099999999999999</v>
      </c>
      <c r="K24">
        <v>0.32700000000000001</v>
      </c>
      <c r="L24">
        <v>4.4999999999999997E-3</v>
      </c>
      <c r="M24">
        <v>1.3599999999999999E-2</v>
      </c>
      <c r="N24">
        <f t="shared" si="0"/>
        <v>0.13670000000000015</v>
      </c>
    </row>
    <row r="25" spans="1:14" x14ac:dyDescent="0.2">
      <c r="A25" s="1" t="s">
        <v>16</v>
      </c>
      <c r="B25" s="1" t="s">
        <v>4</v>
      </c>
      <c r="C25">
        <v>0</v>
      </c>
      <c r="D25">
        <v>5.5399999999999998E-2</v>
      </c>
      <c r="E25">
        <v>4.4999999999999997E-3</v>
      </c>
      <c r="F25">
        <v>3.2000000000000003E-4</v>
      </c>
      <c r="G25">
        <v>2.5999999999999999E-3</v>
      </c>
      <c r="H25">
        <v>0.14799999999999999</v>
      </c>
      <c r="I25">
        <v>0</v>
      </c>
      <c r="J25">
        <v>0.316</v>
      </c>
      <c r="K25">
        <v>0.35399999999999998</v>
      </c>
      <c r="L25">
        <v>2.3E-3</v>
      </c>
      <c r="M25">
        <v>1.8700000000000001E-2</v>
      </c>
      <c r="N25">
        <f t="shared" si="0"/>
        <v>9.8179999999999934E-2</v>
      </c>
    </row>
    <row r="26" spans="1:14" x14ac:dyDescent="0.2">
      <c r="A26" s="1" t="s">
        <v>9</v>
      </c>
      <c r="B26" s="1" t="s">
        <v>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0.98299999999999998</v>
      </c>
      <c r="K26">
        <v>0</v>
      </c>
      <c r="L26">
        <v>0</v>
      </c>
      <c r="M26">
        <v>0</v>
      </c>
      <c r="N26">
        <f t="shared" si="0"/>
        <v>1.7000000000000015E-2</v>
      </c>
    </row>
    <row r="27" spans="1:14" x14ac:dyDescent="0.2">
      <c r="A27" s="1" t="s">
        <v>13</v>
      </c>
      <c r="B27" s="1" t="s">
        <v>5</v>
      </c>
      <c r="C27">
        <v>0</v>
      </c>
      <c r="D27">
        <v>3.2500000000000001E-2</v>
      </c>
      <c r="E27">
        <v>1.04E-2</v>
      </c>
      <c r="F27">
        <v>3.5E-4</v>
      </c>
      <c r="G27">
        <v>1.4E-3</v>
      </c>
      <c r="H27">
        <v>0.16300000000000001</v>
      </c>
      <c r="I27">
        <v>1.2E-4</v>
      </c>
      <c r="J27">
        <v>0.432</v>
      </c>
      <c r="K27">
        <v>0.153</v>
      </c>
      <c r="L27">
        <v>1.2E-4</v>
      </c>
      <c r="M27">
        <v>0.112</v>
      </c>
      <c r="N27">
        <f t="shared" si="0"/>
        <v>9.5110000000000028E-2</v>
      </c>
    </row>
    <row r="28" spans="1:14" x14ac:dyDescent="0.2">
      <c r="A28" s="1" t="s">
        <v>17</v>
      </c>
      <c r="B28" s="1" t="s">
        <v>5</v>
      </c>
      <c r="C28">
        <v>0</v>
      </c>
      <c r="D28">
        <v>5.3699999999999998E-2</v>
      </c>
      <c r="E28">
        <v>1.0500000000000001E-2</v>
      </c>
      <c r="F28">
        <v>4.6000000000000001E-4</v>
      </c>
      <c r="G28">
        <v>4.6000000000000001E-4</v>
      </c>
      <c r="H28">
        <v>0.17100000000000001</v>
      </c>
      <c r="I28">
        <v>0</v>
      </c>
      <c r="J28">
        <v>0.33200000000000002</v>
      </c>
      <c r="K28">
        <v>0.18099999999999999</v>
      </c>
      <c r="L28">
        <v>0</v>
      </c>
      <c r="M28">
        <v>0.14399999999999999</v>
      </c>
      <c r="N28">
        <f t="shared" si="0"/>
        <v>0.10687999999999998</v>
      </c>
    </row>
    <row r="29" spans="1:14" x14ac:dyDescent="0.2">
      <c r="A29" s="1" t="s">
        <v>18</v>
      </c>
      <c r="B29" s="1" t="s">
        <v>5</v>
      </c>
      <c r="C29">
        <v>0</v>
      </c>
      <c r="D29">
        <v>3.3700000000000001E-2</v>
      </c>
      <c r="E29">
        <v>9.1000000000000004E-3</v>
      </c>
      <c r="F29">
        <v>2.2000000000000001E-4</v>
      </c>
      <c r="G29">
        <v>2.5999999999999999E-3</v>
      </c>
      <c r="H29">
        <v>0.17699999999999999</v>
      </c>
      <c r="I29">
        <v>0</v>
      </c>
      <c r="J29">
        <v>0.35699999999999998</v>
      </c>
      <c r="K29">
        <v>0.18099999999999999</v>
      </c>
      <c r="L29">
        <v>0</v>
      </c>
      <c r="M29">
        <v>0.16800000000000001</v>
      </c>
      <c r="N29">
        <f t="shared" si="0"/>
        <v>7.1379999999999888E-2</v>
      </c>
    </row>
    <row r="30" spans="1:14" x14ac:dyDescent="0.2">
      <c r="A30" s="1" t="s">
        <v>19</v>
      </c>
      <c r="B30" s="1" t="s">
        <v>5</v>
      </c>
      <c r="C30">
        <v>0</v>
      </c>
      <c r="D30">
        <v>3.7600000000000001E-2</v>
      </c>
      <c r="E30">
        <v>4.1000000000000003E-3</v>
      </c>
      <c r="F30">
        <v>7.6000000000000004E-4</v>
      </c>
      <c r="G30">
        <v>1.1000000000000001E-3</v>
      </c>
      <c r="H30">
        <v>0.13600000000000001</v>
      </c>
      <c r="I30">
        <v>0</v>
      </c>
      <c r="J30">
        <v>0.35299999999999998</v>
      </c>
      <c r="K30">
        <v>0.18</v>
      </c>
      <c r="L30">
        <v>3.8000000000000002E-4</v>
      </c>
      <c r="M30">
        <v>0.158</v>
      </c>
      <c r="N30">
        <f t="shared" si="0"/>
        <v>0.12906000000000006</v>
      </c>
    </row>
    <row r="31" spans="1:14" x14ac:dyDescent="0.2">
      <c r="A31" s="1" t="s">
        <v>15</v>
      </c>
      <c r="B31" s="1" t="s">
        <v>5</v>
      </c>
      <c r="C31">
        <v>0</v>
      </c>
      <c r="D31">
        <v>1.4079999999999999E-2</v>
      </c>
      <c r="E31">
        <v>3.7952000000000003E-3</v>
      </c>
      <c r="F31">
        <v>2.9E-4</v>
      </c>
      <c r="G31">
        <v>6.7000000000000002E-4</v>
      </c>
      <c r="H31">
        <v>0.151</v>
      </c>
      <c r="I31">
        <v>0</v>
      </c>
      <c r="J31">
        <v>0.505</v>
      </c>
      <c r="K31">
        <v>0.14499999999999999</v>
      </c>
      <c r="L31">
        <v>9.5199999999999997E-5</v>
      </c>
      <c r="M31">
        <v>6.88E-2</v>
      </c>
      <c r="N31">
        <f t="shared" si="0"/>
        <v>0.11126960000000008</v>
      </c>
    </row>
    <row r="32" spans="1:14" x14ac:dyDescent="0.2">
      <c r="A32" s="1" t="s">
        <v>16</v>
      </c>
      <c r="B32" s="1" t="s">
        <v>5</v>
      </c>
      <c r="C32">
        <v>0</v>
      </c>
      <c r="D32">
        <v>1.8499999999999999E-2</v>
      </c>
      <c r="E32">
        <v>2.66E-3</v>
      </c>
      <c r="F32">
        <v>7.7899999999999996E-5</v>
      </c>
      <c r="G32">
        <v>1.8E-3</v>
      </c>
      <c r="H32">
        <v>0.154</v>
      </c>
      <c r="I32">
        <v>0</v>
      </c>
      <c r="J32">
        <v>0.40100000000000002</v>
      </c>
      <c r="K32">
        <v>0.16800000000000001</v>
      </c>
      <c r="L32">
        <v>0</v>
      </c>
      <c r="M32">
        <v>0.16200000000000001</v>
      </c>
      <c r="N32">
        <f t="shared" si="0"/>
        <v>9.1962099999999936E-2</v>
      </c>
    </row>
    <row r="33" spans="1:14" x14ac:dyDescent="0.2">
      <c r="A33" s="1" t="s">
        <v>9</v>
      </c>
      <c r="B33" s="1" t="s">
        <v>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0.98599999999999999</v>
      </c>
      <c r="K33">
        <v>0</v>
      </c>
      <c r="L33">
        <v>1.4E-3</v>
      </c>
      <c r="M33">
        <v>0</v>
      </c>
      <c r="N33">
        <f t="shared" si="0"/>
        <v>1.2600000000000056E-2</v>
      </c>
    </row>
    <row r="34" spans="1:14" x14ac:dyDescent="0.2">
      <c r="A34" s="1" t="s">
        <v>13</v>
      </c>
      <c r="B34" s="1" t="s">
        <v>6</v>
      </c>
      <c r="C34">
        <v>0</v>
      </c>
      <c r="D34">
        <v>5.3499999999999999E-2</v>
      </c>
      <c r="E34">
        <v>5.2972000000000002E-3</v>
      </c>
      <c r="F34">
        <v>1.1999999999999999E-3</v>
      </c>
      <c r="G34">
        <v>3.8999999999999998E-3</v>
      </c>
      <c r="H34">
        <v>0.109</v>
      </c>
      <c r="I34">
        <v>0</v>
      </c>
      <c r="J34">
        <v>0.33600000000000002</v>
      </c>
      <c r="K34">
        <v>4.82E-2</v>
      </c>
      <c r="L34">
        <v>2.8E-3</v>
      </c>
      <c r="M34">
        <v>0.34200000000000003</v>
      </c>
      <c r="N34">
        <f t="shared" si="0"/>
        <v>9.8102799999999934E-2</v>
      </c>
    </row>
    <row r="35" spans="1:14" x14ac:dyDescent="0.2">
      <c r="A35" s="1" t="s">
        <v>17</v>
      </c>
      <c r="B35" s="1" t="s">
        <v>6</v>
      </c>
      <c r="C35">
        <v>0</v>
      </c>
      <c r="D35">
        <v>0.10980000000000001</v>
      </c>
      <c r="E35">
        <v>2.0400000000000001E-2</v>
      </c>
      <c r="F35">
        <v>1.2999999999999999E-3</v>
      </c>
      <c r="G35">
        <v>5.7000000000000002E-3</v>
      </c>
      <c r="H35">
        <v>9.1700000000000004E-2</v>
      </c>
      <c r="I35">
        <v>0</v>
      </c>
      <c r="J35">
        <v>0.20499999999999999</v>
      </c>
      <c r="K35">
        <v>7.3800000000000004E-2</v>
      </c>
      <c r="L35">
        <v>1.1599999999999999E-2</v>
      </c>
      <c r="M35">
        <v>0.32</v>
      </c>
      <c r="N35">
        <f t="shared" si="0"/>
        <v>0.16069999999999984</v>
      </c>
    </row>
    <row r="36" spans="1:14" x14ac:dyDescent="0.2">
      <c r="A36" s="1" t="s">
        <v>21</v>
      </c>
      <c r="B36" s="1" t="s">
        <v>6</v>
      </c>
      <c r="C36">
        <v>0</v>
      </c>
      <c r="D36">
        <v>7.5300000000000006E-2</v>
      </c>
      <c r="E36">
        <v>1.38E-2</v>
      </c>
      <c r="F36">
        <v>4.2999999999999999E-4</v>
      </c>
      <c r="G36">
        <v>3.7000000000000002E-3</v>
      </c>
      <c r="H36">
        <v>9.7500000000000003E-2</v>
      </c>
      <c r="I36">
        <v>0</v>
      </c>
      <c r="J36">
        <v>0.20599999999999999</v>
      </c>
      <c r="K36">
        <v>3.9199999999999999E-2</v>
      </c>
      <c r="L36">
        <v>4.7999999999999996E-3</v>
      </c>
      <c r="M36">
        <v>0.45700000000000002</v>
      </c>
      <c r="N36">
        <f t="shared" si="0"/>
        <v>0.10226999999999986</v>
      </c>
    </row>
    <row r="37" spans="1:14" x14ac:dyDescent="0.2">
      <c r="A37" s="1" t="s">
        <v>22</v>
      </c>
      <c r="B37" s="1" t="s">
        <v>6</v>
      </c>
      <c r="C37">
        <v>0</v>
      </c>
      <c r="D37">
        <v>9.2999999999999999E-2</v>
      </c>
      <c r="E37">
        <v>1.7399999999999999E-2</v>
      </c>
      <c r="F37">
        <v>5.9000000000000003E-4</v>
      </c>
      <c r="G37">
        <v>2.3999999999999998E-3</v>
      </c>
      <c r="H37">
        <v>9.01E-2</v>
      </c>
      <c r="I37">
        <v>0</v>
      </c>
      <c r="J37">
        <v>0.23100000000000001</v>
      </c>
      <c r="K37">
        <v>6.7599999999999993E-2</v>
      </c>
      <c r="L37">
        <v>0.01</v>
      </c>
      <c r="M37">
        <v>0.36799999999999999</v>
      </c>
      <c r="N37">
        <f t="shared" si="0"/>
        <v>0.11990999999999996</v>
      </c>
    </row>
    <row r="38" spans="1:14" x14ac:dyDescent="0.2">
      <c r="A38" s="1" t="s">
        <v>19</v>
      </c>
      <c r="B38" s="1" t="s">
        <v>6</v>
      </c>
      <c r="C38">
        <v>0</v>
      </c>
      <c r="D38">
        <v>4.308E-2</v>
      </c>
      <c r="E38">
        <v>3.3999999999999998E-3</v>
      </c>
      <c r="F38">
        <v>2E-3</v>
      </c>
      <c r="G38">
        <v>4.8999999999999998E-3</v>
      </c>
      <c r="H38">
        <v>0.13100000000000001</v>
      </c>
      <c r="I38">
        <v>0</v>
      </c>
      <c r="J38">
        <v>0.35199999999999998</v>
      </c>
      <c r="K38">
        <v>4.3099999999999999E-2</v>
      </c>
      <c r="L38">
        <v>4.1999999999999997E-3</v>
      </c>
      <c r="M38">
        <v>0.28499999999999998</v>
      </c>
      <c r="N38">
        <f t="shared" si="0"/>
        <v>0.1313200000000001</v>
      </c>
    </row>
    <row r="39" spans="1:14" x14ac:dyDescent="0.2">
      <c r="A39" s="1" t="s">
        <v>20</v>
      </c>
      <c r="B39" s="1" t="s">
        <v>6</v>
      </c>
      <c r="C39">
        <v>0</v>
      </c>
      <c r="D39">
        <v>5.2900000000000003E-2</v>
      </c>
      <c r="E39">
        <v>1.34E-2</v>
      </c>
      <c r="F39">
        <v>1.1000000000000001E-3</v>
      </c>
      <c r="G39">
        <v>3.2000000000000002E-3</v>
      </c>
      <c r="H39">
        <v>0.126</v>
      </c>
      <c r="I39">
        <v>0</v>
      </c>
      <c r="J39">
        <v>0.186</v>
      </c>
      <c r="K39">
        <v>4.3200000000000002E-2</v>
      </c>
      <c r="L39">
        <v>5.4999999999999997E-3</v>
      </c>
      <c r="M39">
        <v>0.47699999999999998</v>
      </c>
      <c r="N39">
        <f t="shared" si="0"/>
        <v>9.1700000000000004E-2</v>
      </c>
    </row>
    <row r="40" spans="1:14" x14ac:dyDescent="0.2">
      <c r="A40" s="1" t="s">
        <v>9</v>
      </c>
      <c r="B40" s="1" t="s">
        <v>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0.995</v>
      </c>
      <c r="K40">
        <v>0</v>
      </c>
      <c r="L40">
        <v>0</v>
      </c>
      <c r="M40">
        <v>0</v>
      </c>
      <c r="N40">
        <f t="shared" si="0"/>
        <v>5.0000000000000044E-3</v>
      </c>
    </row>
    <row r="41" spans="1:14" x14ac:dyDescent="0.2">
      <c r="A41" s="1" t="s">
        <v>13</v>
      </c>
      <c r="B41" s="1" t="s">
        <v>7</v>
      </c>
      <c r="C41">
        <v>0</v>
      </c>
      <c r="D41">
        <v>2.2200000000000001E-2</v>
      </c>
      <c r="E41">
        <v>6.0000000000000001E-3</v>
      </c>
      <c r="F41">
        <v>3.1E-4</v>
      </c>
      <c r="G41">
        <v>7.6999999999999996E-4</v>
      </c>
      <c r="H41">
        <v>6.5299999999999997E-2</v>
      </c>
      <c r="I41">
        <v>0</v>
      </c>
      <c r="J41">
        <v>0.56999999999999995</v>
      </c>
      <c r="K41">
        <v>1.46E-2</v>
      </c>
      <c r="L41">
        <v>0</v>
      </c>
      <c r="M41">
        <v>0.29399999999999998</v>
      </c>
      <c r="N41">
        <f t="shared" si="0"/>
        <v>2.6820000000000066E-2</v>
      </c>
    </row>
    <row r="42" spans="1:14" x14ac:dyDescent="0.2">
      <c r="A42" s="1" t="s">
        <v>17</v>
      </c>
      <c r="B42" s="1" t="s">
        <v>7</v>
      </c>
      <c r="C42">
        <v>0</v>
      </c>
      <c r="D42">
        <v>4.4400000000000002E-2</v>
      </c>
      <c r="E42">
        <v>1.06E-2</v>
      </c>
      <c r="F42">
        <v>6.3000000000000003E-4</v>
      </c>
      <c r="G42">
        <v>1.2999999999999999E-3</v>
      </c>
      <c r="H42">
        <v>5.91E-2</v>
      </c>
      <c r="I42">
        <v>0</v>
      </c>
      <c r="J42">
        <v>0.39600000000000002</v>
      </c>
      <c r="K42">
        <v>2.47E-2</v>
      </c>
      <c r="L42">
        <v>3.1E-4</v>
      </c>
      <c r="M42">
        <v>0.39900000000000002</v>
      </c>
      <c r="N42">
        <f t="shared" si="0"/>
        <v>6.3960000000000017E-2</v>
      </c>
    </row>
    <row r="43" spans="1:14" x14ac:dyDescent="0.2">
      <c r="A43" s="1" t="s">
        <v>21</v>
      </c>
      <c r="B43" s="1" t="s">
        <v>7</v>
      </c>
      <c r="C43">
        <v>0</v>
      </c>
      <c r="D43">
        <v>3.6119999999999999E-2</v>
      </c>
      <c r="E43">
        <v>7.6E-3</v>
      </c>
      <c r="F43">
        <v>1.7000000000000001E-4</v>
      </c>
      <c r="G43">
        <v>9.2000000000000003E-4</v>
      </c>
      <c r="H43">
        <v>6.6400000000000001E-2</v>
      </c>
      <c r="I43">
        <v>0</v>
      </c>
      <c r="J43">
        <v>0.433</v>
      </c>
      <c r="K43">
        <v>1.34E-2</v>
      </c>
      <c r="L43">
        <v>5.7800000000000002E-5</v>
      </c>
      <c r="M43">
        <v>0.42499999999999999</v>
      </c>
      <c r="N43">
        <f t="shared" si="0"/>
        <v>1.733220000000002E-2</v>
      </c>
    </row>
    <row r="44" spans="1:14" x14ac:dyDescent="0.2">
      <c r="A44" s="1" t="s">
        <v>19</v>
      </c>
      <c r="B44" s="1" t="s">
        <v>7</v>
      </c>
      <c r="C44">
        <v>0</v>
      </c>
      <c r="D44">
        <v>2.3400000000000001E-2</v>
      </c>
      <c r="E44">
        <v>1.1900000000000001E-2</v>
      </c>
      <c r="F44">
        <v>0</v>
      </c>
      <c r="G44">
        <v>9.8999999999999999E-4</v>
      </c>
      <c r="H44">
        <v>8.6999999999999994E-2</v>
      </c>
      <c r="I44">
        <v>0</v>
      </c>
      <c r="J44">
        <v>0.371</v>
      </c>
      <c r="K44">
        <v>2.4899999999999999E-2</v>
      </c>
      <c r="L44">
        <v>2.5000000000000001E-4</v>
      </c>
      <c r="M44">
        <v>0.45100000000000001</v>
      </c>
      <c r="N44">
        <f t="shared" si="0"/>
        <v>2.9560000000000031E-2</v>
      </c>
    </row>
    <row r="45" spans="1:14" x14ac:dyDescent="0.2">
      <c r="A45" s="1" t="s">
        <v>15</v>
      </c>
      <c r="B45" s="1" t="s">
        <v>7</v>
      </c>
      <c r="C45">
        <v>0</v>
      </c>
      <c r="D45">
        <v>7.0000000000000001E-3</v>
      </c>
      <c r="E45">
        <v>1.1000000000000001E-3</v>
      </c>
      <c r="F45">
        <v>0</v>
      </c>
      <c r="G45">
        <v>5.1000000000000004E-4</v>
      </c>
      <c r="H45">
        <v>5.4100000000000002E-2</v>
      </c>
      <c r="I45">
        <v>0</v>
      </c>
      <c r="J45">
        <v>0.77</v>
      </c>
      <c r="K45">
        <v>1.7899999999999999E-2</v>
      </c>
      <c r="L45">
        <v>0</v>
      </c>
      <c r="M45">
        <v>0.127</v>
      </c>
      <c r="N45">
        <f t="shared" si="0"/>
        <v>2.238999999999991E-2</v>
      </c>
    </row>
    <row r="46" spans="1:14" x14ac:dyDescent="0.2">
      <c r="A46" s="1" t="s">
        <v>16</v>
      </c>
      <c r="B46" s="1" t="s">
        <v>7</v>
      </c>
      <c r="C46">
        <v>0</v>
      </c>
      <c r="D46">
        <v>3.032E-2</v>
      </c>
      <c r="E46">
        <v>5.7999999999999996E-3</v>
      </c>
      <c r="F46">
        <v>5.77E-5</v>
      </c>
      <c r="G46">
        <v>8.7000000000000001E-4</v>
      </c>
      <c r="H46">
        <v>7.7100000000000002E-2</v>
      </c>
      <c r="I46">
        <v>0</v>
      </c>
      <c r="J46">
        <v>0.39500000000000002</v>
      </c>
      <c r="K46">
        <v>1.4500000000000001E-2</v>
      </c>
      <c r="L46">
        <v>2.0999999999999999E-3</v>
      </c>
      <c r="M46">
        <v>0.45800000000000002</v>
      </c>
      <c r="N46">
        <f t="shared" si="0"/>
        <v>1.6252300000000108E-2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EFD0-F2DE-C342-95D6-1A4583DD739D}">
  <dimension ref="B2:AY78"/>
  <sheetViews>
    <sheetView topLeftCell="Z1" zoomScale="142" workbookViewId="0">
      <selection activeCell="B2" sqref="B2:AW16"/>
    </sheetView>
  </sheetViews>
  <sheetFormatPr baseColWidth="10" defaultColWidth="8.83203125" defaultRowHeight="16" x14ac:dyDescent="0.2"/>
  <cols>
    <col min="1" max="1" width="2" customWidth="1"/>
    <col min="259" max="259" width="2" customWidth="1"/>
    <col min="515" max="515" width="2" customWidth="1"/>
    <col min="771" max="771" width="2" customWidth="1"/>
    <col min="1027" max="1027" width="2" customWidth="1"/>
    <col min="1283" max="1283" width="2" customWidth="1"/>
    <col min="1539" max="1539" width="2" customWidth="1"/>
    <col min="1795" max="1795" width="2" customWidth="1"/>
    <col min="2051" max="2051" width="2" customWidth="1"/>
    <col min="2307" max="2307" width="2" customWidth="1"/>
    <col min="2563" max="2563" width="2" customWidth="1"/>
    <col min="2819" max="2819" width="2" customWidth="1"/>
    <col min="3075" max="3075" width="2" customWidth="1"/>
    <col min="3331" max="3331" width="2" customWidth="1"/>
    <col min="3587" max="3587" width="2" customWidth="1"/>
    <col min="3843" max="3843" width="2" customWidth="1"/>
    <col min="4099" max="4099" width="2" customWidth="1"/>
    <col min="4355" max="4355" width="2" customWidth="1"/>
    <col min="4611" max="4611" width="2" customWidth="1"/>
    <col min="4867" max="4867" width="2" customWidth="1"/>
    <col min="5123" max="5123" width="2" customWidth="1"/>
    <col min="5379" max="5379" width="2" customWidth="1"/>
    <col min="5635" max="5635" width="2" customWidth="1"/>
    <col min="5891" max="5891" width="2" customWidth="1"/>
    <col min="6147" max="6147" width="2" customWidth="1"/>
    <col min="6403" max="6403" width="2" customWidth="1"/>
    <col min="6659" max="6659" width="2" customWidth="1"/>
    <col min="6915" max="6915" width="2" customWidth="1"/>
    <col min="7171" max="7171" width="2" customWidth="1"/>
    <col min="7427" max="7427" width="2" customWidth="1"/>
    <col min="7683" max="7683" width="2" customWidth="1"/>
    <col min="7939" max="7939" width="2" customWidth="1"/>
    <col min="8195" max="8195" width="2" customWidth="1"/>
    <col min="8451" max="8451" width="2" customWidth="1"/>
    <col min="8707" max="8707" width="2" customWidth="1"/>
    <col min="8963" max="8963" width="2" customWidth="1"/>
    <col min="9219" max="9219" width="2" customWidth="1"/>
    <col min="9475" max="9475" width="2" customWidth="1"/>
    <col min="9731" max="9731" width="2" customWidth="1"/>
    <col min="9987" max="9987" width="2" customWidth="1"/>
    <col min="10243" max="10243" width="2" customWidth="1"/>
    <col min="10499" max="10499" width="2" customWidth="1"/>
    <col min="10755" max="10755" width="2" customWidth="1"/>
    <col min="11011" max="11011" width="2" customWidth="1"/>
    <col min="11267" max="11267" width="2" customWidth="1"/>
    <col min="11523" max="11523" width="2" customWidth="1"/>
    <col min="11779" max="11779" width="2" customWidth="1"/>
    <col min="12035" max="12035" width="2" customWidth="1"/>
    <col min="12291" max="12291" width="2" customWidth="1"/>
    <col min="12547" max="12547" width="2" customWidth="1"/>
    <col min="12803" max="12803" width="2" customWidth="1"/>
    <col min="13059" max="13059" width="2" customWidth="1"/>
    <col min="13315" max="13315" width="2" customWidth="1"/>
    <col min="13571" max="13571" width="2" customWidth="1"/>
    <col min="13827" max="13827" width="2" customWidth="1"/>
    <col min="14083" max="14083" width="2" customWidth="1"/>
    <col min="14339" max="14339" width="2" customWidth="1"/>
    <col min="14595" max="14595" width="2" customWidth="1"/>
    <col min="14851" max="14851" width="2" customWidth="1"/>
    <col min="15107" max="15107" width="2" customWidth="1"/>
    <col min="15363" max="15363" width="2" customWidth="1"/>
    <col min="15619" max="15619" width="2" customWidth="1"/>
    <col min="15875" max="15875" width="2" customWidth="1"/>
    <col min="16131" max="16131" width="2" customWidth="1"/>
  </cols>
  <sheetData>
    <row r="2" spans="2:51" x14ac:dyDescent="0.2">
      <c r="C2" s="13" t="s">
        <v>0</v>
      </c>
      <c r="D2" s="14"/>
      <c r="E2" s="14"/>
      <c r="F2" s="13" t="s">
        <v>1</v>
      </c>
      <c r="G2" s="14"/>
      <c r="H2" s="13" t="s">
        <v>2</v>
      </c>
      <c r="I2" s="14"/>
      <c r="J2" s="14"/>
      <c r="K2" s="14"/>
      <c r="L2" s="14"/>
      <c r="M2" s="14"/>
      <c r="N2" s="14"/>
      <c r="O2" s="13" t="s">
        <v>3</v>
      </c>
      <c r="P2" s="14"/>
      <c r="Q2" s="14"/>
      <c r="R2" s="14"/>
      <c r="S2" s="14"/>
      <c r="T2" s="14"/>
      <c r="U2" s="14"/>
      <c r="V2" s="13" t="s">
        <v>4</v>
      </c>
      <c r="W2" s="14"/>
      <c r="X2" s="14"/>
      <c r="Y2" s="14"/>
      <c r="Z2" s="14"/>
      <c r="AA2" s="14"/>
      <c r="AB2" s="14"/>
      <c r="AC2" s="13" t="s">
        <v>5</v>
      </c>
      <c r="AD2" s="14"/>
      <c r="AE2" s="14"/>
      <c r="AF2" s="14"/>
      <c r="AG2" s="14"/>
      <c r="AH2" s="14"/>
      <c r="AI2" s="14"/>
      <c r="AJ2" s="13" t="s">
        <v>6</v>
      </c>
      <c r="AK2" s="14"/>
      <c r="AL2" s="14"/>
      <c r="AM2" s="14"/>
      <c r="AN2" s="14"/>
      <c r="AO2" s="14"/>
      <c r="AP2" s="14"/>
      <c r="AQ2" s="13" t="s">
        <v>7</v>
      </c>
      <c r="AR2" s="14"/>
      <c r="AS2" s="14"/>
      <c r="AT2" s="14"/>
      <c r="AU2" s="14"/>
      <c r="AV2" s="14"/>
      <c r="AW2" s="14"/>
    </row>
    <row r="3" spans="2:51" x14ac:dyDescent="0.2">
      <c r="B3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9</v>
      </c>
      <c r="H3" s="1" t="s">
        <v>9</v>
      </c>
      <c r="I3" s="7" t="s">
        <v>13</v>
      </c>
      <c r="J3" s="8" t="s">
        <v>17</v>
      </c>
      <c r="K3" s="9" t="s">
        <v>21</v>
      </c>
      <c r="L3" s="10" t="s">
        <v>15</v>
      </c>
      <c r="M3" s="11" t="s">
        <v>19</v>
      </c>
      <c r="N3" s="1" t="s">
        <v>16</v>
      </c>
      <c r="O3" s="1" t="s">
        <v>9</v>
      </c>
      <c r="P3" s="7" t="s">
        <v>13</v>
      </c>
      <c r="Q3" s="8" t="s">
        <v>17</v>
      </c>
      <c r="R3" s="9" t="s">
        <v>21</v>
      </c>
      <c r="S3" s="10" t="s">
        <v>15</v>
      </c>
      <c r="T3" s="11" t="s">
        <v>19</v>
      </c>
      <c r="U3" s="12" t="s">
        <v>20</v>
      </c>
      <c r="V3" s="1" t="s">
        <v>9</v>
      </c>
      <c r="W3" s="7" t="s">
        <v>13</v>
      </c>
      <c r="X3" s="8" t="s">
        <v>17</v>
      </c>
      <c r="Y3" s="9" t="s">
        <v>21</v>
      </c>
      <c r="Z3" s="10" t="s">
        <v>15</v>
      </c>
      <c r="AA3" s="11" t="s">
        <v>19</v>
      </c>
      <c r="AB3" s="12" t="s">
        <v>20</v>
      </c>
      <c r="AC3" s="1" t="s">
        <v>9</v>
      </c>
      <c r="AD3" s="7" t="s">
        <v>13</v>
      </c>
      <c r="AE3" s="8" t="s">
        <v>17</v>
      </c>
      <c r="AF3" s="9" t="s">
        <v>21</v>
      </c>
      <c r="AG3" s="10" t="s">
        <v>15</v>
      </c>
      <c r="AH3" s="11" t="s">
        <v>19</v>
      </c>
      <c r="AI3" s="12" t="s">
        <v>20</v>
      </c>
      <c r="AJ3" s="1" t="s">
        <v>9</v>
      </c>
      <c r="AK3" s="7" t="s">
        <v>13</v>
      </c>
      <c r="AL3" s="8" t="s">
        <v>17</v>
      </c>
      <c r="AM3" s="9" t="s">
        <v>21</v>
      </c>
      <c r="AN3" s="10" t="s">
        <v>15</v>
      </c>
      <c r="AO3" s="11" t="s">
        <v>19</v>
      </c>
      <c r="AP3" s="12" t="s">
        <v>20</v>
      </c>
      <c r="AQ3" s="1" t="s">
        <v>9</v>
      </c>
      <c r="AR3" s="7" t="s">
        <v>13</v>
      </c>
      <c r="AS3" s="8" t="s">
        <v>17</v>
      </c>
      <c r="AT3" s="9" t="s">
        <v>21</v>
      </c>
      <c r="AU3" s="10" t="s">
        <v>15</v>
      </c>
      <c r="AV3" s="11" t="s">
        <v>19</v>
      </c>
      <c r="AW3" s="12" t="s">
        <v>20</v>
      </c>
      <c r="AX3" t="s">
        <v>23</v>
      </c>
      <c r="AY3" t="s">
        <v>24</v>
      </c>
    </row>
    <row r="4" spans="2:51" x14ac:dyDescent="0.2">
      <c r="B4" s="1" t="s">
        <v>25</v>
      </c>
      <c r="C4" s="2">
        <v>0</v>
      </c>
      <c r="D4" s="3">
        <v>9.9000000000000008E-3</v>
      </c>
      <c r="E4" s="3">
        <v>2.3999999999999998E-3</v>
      </c>
      <c r="F4" s="3">
        <v>2E-3</v>
      </c>
      <c r="G4" s="2">
        <v>0</v>
      </c>
      <c r="H4" s="2">
        <v>0</v>
      </c>
      <c r="I4" s="3">
        <v>5.7000000000000002E-3</v>
      </c>
      <c r="J4" s="3">
        <v>6.6E-3</v>
      </c>
      <c r="K4" s="3">
        <v>5.7000000000000002E-3</v>
      </c>
      <c r="L4" s="3">
        <v>2.3999999999999998E-3</v>
      </c>
      <c r="M4" s="3">
        <v>2.3999999999999998E-3</v>
      </c>
      <c r="N4" s="3">
        <v>5.0000000000000001E-3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3">
        <v>7.6000000000000004E-4</v>
      </c>
      <c r="AY4" s="3">
        <v>2.0999999999999999E-3</v>
      </c>
    </row>
    <row r="5" spans="2:51" x14ac:dyDescent="0.2">
      <c r="B5" s="1" t="s">
        <v>26</v>
      </c>
      <c r="C5" s="2">
        <v>0</v>
      </c>
      <c r="D5" s="3">
        <v>1.8E-3</v>
      </c>
      <c r="E5" s="2">
        <v>0</v>
      </c>
      <c r="F5" s="3">
        <v>1.1999999999999999E-3</v>
      </c>
      <c r="G5" s="2">
        <v>0</v>
      </c>
      <c r="H5" s="2">
        <v>0</v>
      </c>
      <c r="I5" s="3">
        <v>0.11</v>
      </c>
      <c r="J5" s="3">
        <v>9.9599999999999994E-2</v>
      </c>
      <c r="K5" s="3">
        <v>0.11</v>
      </c>
      <c r="L5" s="3">
        <v>3.8699999999999998E-2</v>
      </c>
      <c r="M5" s="3">
        <v>3.8699999999999998E-2</v>
      </c>
      <c r="N5" s="3">
        <v>3.5200000000000002E-2</v>
      </c>
      <c r="O5" s="2">
        <v>0</v>
      </c>
      <c r="P5" s="3">
        <v>8.0600000000000005E-2</v>
      </c>
      <c r="Q5" s="3">
        <v>0.222</v>
      </c>
      <c r="R5" s="3">
        <v>0.127</v>
      </c>
      <c r="S5" s="3">
        <v>2.35E-2</v>
      </c>
      <c r="T5" s="3">
        <v>0.113</v>
      </c>
      <c r="U5" s="3">
        <v>1.6299999999999999E-2</v>
      </c>
      <c r="V5" s="2">
        <v>0</v>
      </c>
      <c r="W5" s="3">
        <v>1.5E-3</v>
      </c>
      <c r="X5" s="2">
        <v>0</v>
      </c>
      <c r="Y5" s="3">
        <v>3.4000000000000002E-4</v>
      </c>
      <c r="Z5" s="2">
        <v>0</v>
      </c>
      <c r="AA5" s="2">
        <v>0</v>
      </c>
      <c r="AB5" s="2">
        <v>0</v>
      </c>
      <c r="AC5" s="2">
        <v>0</v>
      </c>
      <c r="AD5" s="3">
        <v>8.8000000000000005E-3</v>
      </c>
      <c r="AE5" s="3">
        <v>1.2699999999999999E-2</v>
      </c>
      <c r="AF5" s="3">
        <v>7.0000000000000001E-3</v>
      </c>
      <c r="AG5" s="3">
        <v>4.8000000000000001E-4</v>
      </c>
      <c r="AH5" s="3">
        <v>9.1000000000000004E-3</v>
      </c>
      <c r="AI5" s="3">
        <v>1.6999999999999999E-3</v>
      </c>
      <c r="AJ5" s="2">
        <v>0</v>
      </c>
      <c r="AK5" s="3">
        <v>4.1999999999999997E-3</v>
      </c>
      <c r="AL5" s="3">
        <v>8.8000000000000005E-3</v>
      </c>
      <c r="AM5" s="3">
        <v>6.8999999999999999E-3</v>
      </c>
      <c r="AN5" s="3">
        <v>8.6E-3</v>
      </c>
      <c r="AO5" s="3">
        <v>5.8E-4</v>
      </c>
      <c r="AP5" s="3">
        <v>3.8999999999999998E-3</v>
      </c>
      <c r="AQ5" s="2">
        <v>0</v>
      </c>
      <c r="AR5" s="2">
        <v>0</v>
      </c>
      <c r="AS5" s="2">
        <v>0</v>
      </c>
      <c r="AT5" s="3">
        <v>5.1999999999999995E-4</v>
      </c>
      <c r="AU5" s="2">
        <v>0</v>
      </c>
      <c r="AV5" s="2">
        <v>0</v>
      </c>
      <c r="AW5" s="3">
        <v>1.2E-4</v>
      </c>
      <c r="AX5" s="3">
        <v>2.1000000000000001E-2</v>
      </c>
      <c r="AY5" s="3">
        <v>4.5499999999999999E-2</v>
      </c>
    </row>
    <row r="6" spans="2:51" x14ac:dyDescent="0.2">
      <c r="B6" s="1" t="s">
        <v>27</v>
      </c>
      <c r="C6" s="2">
        <v>0</v>
      </c>
      <c r="D6" s="3">
        <v>2.12E-2</v>
      </c>
      <c r="E6" s="2">
        <v>0</v>
      </c>
      <c r="F6" s="3">
        <v>1.6E-2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3">
        <v>2.1100000000000001E-2</v>
      </c>
      <c r="Q6" s="3">
        <v>2.8400000000000002E-2</v>
      </c>
      <c r="R6" s="3">
        <v>2.18E-2</v>
      </c>
      <c r="S6" s="3">
        <v>1.1299999999999999E-2</v>
      </c>
      <c r="T6" s="3">
        <v>3.0499999999999999E-2</v>
      </c>
      <c r="U6" s="3">
        <v>1.6299999999999999E-2</v>
      </c>
      <c r="V6" s="2">
        <v>0</v>
      </c>
      <c r="W6" s="3">
        <v>6.4999999999999997E-3</v>
      </c>
      <c r="X6" s="3">
        <v>0.01</v>
      </c>
      <c r="Y6" s="3">
        <v>7.7999999999999996E-3</v>
      </c>
      <c r="Z6" s="3">
        <v>6.4000000000000003E-3</v>
      </c>
      <c r="AA6" s="3">
        <v>8.2000000000000007E-3</v>
      </c>
      <c r="AB6" s="3">
        <v>4.4999999999999997E-3</v>
      </c>
      <c r="AC6" s="2">
        <v>0</v>
      </c>
      <c r="AD6" s="3">
        <v>8.3999999999999995E-3</v>
      </c>
      <c r="AE6" s="3">
        <v>8.2000000000000007E-3</v>
      </c>
      <c r="AF6" s="3">
        <v>7.9000000000000008E-3</v>
      </c>
      <c r="AG6" s="3">
        <v>3.7000000000000002E-3</v>
      </c>
      <c r="AH6" s="3">
        <v>3.0000000000000001E-3</v>
      </c>
      <c r="AI6" s="3">
        <v>2.5000000000000001E-3</v>
      </c>
      <c r="AJ6" s="2">
        <v>0</v>
      </c>
      <c r="AK6" s="3">
        <v>5.1999999999999998E-3</v>
      </c>
      <c r="AL6" s="3">
        <v>2.0400000000000001E-2</v>
      </c>
      <c r="AM6" s="3">
        <v>1.38E-2</v>
      </c>
      <c r="AN6" s="3">
        <v>1.7399999999999999E-2</v>
      </c>
      <c r="AO6" s="3">
        <v>3.3999999999999998E-3</v>
      </c>
      <c r="AP6" s="3">
        <v>1.34E-2</v>
      </c>
      <c r="AQ6" s="2">
        <v>0</v>
      </c>
      <c r="AR6" s="3">
        <v>6.0000000000000001E-3</v>
      </c>
      <c r="AS6" s="3">
        <v>1.06E-2</v>
      </c>
      <c r="AT6" s="3">
        <v>7.6E-3</v>
      </c>
      <c r="AU6" s="3">
        <v>1.1000000000000001E-3</v>
      </c>
      <c r="AV6" s="3">
        <v>1.1900000000000001E-2</v>
      </c>
      <c r="AW6" s="3">
        <v>5.7999999999999996E-3</v>
      </c>
      <c r="AX6" s="3">
        <v>8.0000000000000002E-3</v>
      </c>
      <c r="AY6" s="3">
        <v>8.2000000000000007E-3</v>
      </c>
    </row>
    <row r="7" spans="2:51" x14ac:dyDescent="0.2">
      <c r="B7" s="1" t="s">
        <v>26</v>
      </c>
      <c r="C7" s="2">
        <v>0</v>
      </c>
      <c r="D7" s="3">
        <v>5.28E-2</v>
      </c>
      <c r="E7" s="2">
        <v>0</v>
      </c>
      <c r="F7" s="3">
        <v>3.2800000000000003E-2</v>
      </c>
      <c r="G7" s="2">
        <v>0</v>
      </c>
      <c r="H7" s="2">
        <v>0</v>
      </c>
      <c r="I7" s="3">
        <v>3.5499999999999997E-2</v>
      </c>
      <c r="J7" s="3">
        <v>4.6199999999999998E-2</v>
      </c>
      <c r="K7" s="3">
        <v>3.5499999999999997E-2</v>
      </c>
      <c r="L7" s="3">
        <v>3.5499999999999997E-2</v>
      </c>
      <c r="M7" s="3">
        <v>3.5499999999999997E-2</v>
      </c>
      <c r="N7" s="3">
        <v>4.6600000000000003E-2</v>
      </c>
      <c r="O7" s="2">
        <v>0</v>
      </c>
      <c r="P7" s="3">
        <v>0.26100000000000001</v>
      </c>
      <c r="Q7" s="3">
        <v>0.21299999999999999</v>
      </c>
      <c r="R7" s="3">
        <v>0.214</v>
      </c>
      <c r="S7" s="3">
        <v>0.14799999999999999</v>
      </c>
      <c r="T7" s="3">
        <v>0.20200000000000001</v>
      </c>
      <c r="U7" s="3">
        <v>0.16600000000000001</v>
      </c>
      <c r="V7" s="2">
        <v>0</v>
      </c>
      <c r="W7" s="3">
        <v>9.4100000000000003E-2</v>
      </c>
      <c r="X7" s="3">
        <v>0.13100000000000001</v>
      </c>
      <c r="Y7" s="3">
        <v>8.8200000000000001E-2</v>
      </c>
      <c r="Z7" s="3">
        <v>4.2999999999999997E-2</v>
      </c>
      <c r="AA7" s="3">
        <v>0.17</v>
      </c>
      <c r="AB7" s="3">
        <v>5.5399999999999998E-2</v>
      </c>
      <c r="AC7" s="2">
        <v>0</v>
      </c>
      <c r="AD7" s="3">
        <v>2.3699999999999999E-2</v>
      </c>
      <c r="AE7" s="3">
        <v>4.1000000000000002E-2</v>
      </c>
      <c r="AF7" s="3">
        <v>2.6700000000000002E-2</v>
      </c>
      <c r="AG7" s="3">
        <v>1.3599999999999999E-2</v>
      </c>
      <c r="AH7" s="3">
        <v>2.8500000000000001E-2</v>
      </c>
      <c r="AI7" s="3">
        <v>1.6799999999999999E-2</v>
      </c>
      <c r="AJ7" s="2">
        <v>0</v>
      </c>
      <c r="AK7" s="3">
        <v>4.9299999999999997E-2</v>
      </c>
      <c r="AL7" s="3">
        <v>0.10100000000000001</v>
      </c>
      <c r="AM7" s="3">
        <v>6.8400000000000002E-2</v>
      </c>
      <c r="AN7" s="3">
        <v>8.4400000000000003E-2</v>
      </c>
      <c r="AO7" s="3">
        <v>4.2500000000000003E-2</v>
      </c>
      <c r="AP7" s="3">
        <v>4.9000000000000002E-2</v>
      </c>
      <c r="AQ7" s="2">
        <v>0</v>
      </c>
      <c r="AR7" s="3">
        <v>2.2200000000000001E-2</v>
      </c>
      <c r="AS7" s="3">
        <v>4.4400000000000002E-2</v>
      </c>
      <c r="AT7" s="3">
        <v>3.56E-2</v>
      </c>
      <c r="AU7" s="3">
        <v>7.0000000000000001E-3</v>
      </c>
      <c r="AV7" s="3">
        <v>2.3400000000000001E-2</v>
      </c>
      <c r="AW7" s="3">
        <v>3.0200000000000001E-2</v>
      </c>
      <c r="AX7" s="3">
        <v>6.0999999999999999E-2</v>
      </c>
      <c r="AY7" s="3">
        <v>6.7199999999999996E-2</v>
      </c>
    </row>
    <row r="8" spans="2:51" x14ac:dyDescent="0.2">
      <c r="B8" s="1" t="s">
        <v>27</v>
      </c>
      <c r="C8" s="2">
        <v>0</v>
      </c>
      <c r="D8" s="3">
        <v>8.8000000000000003E-4</v>
      </c>
      <c r="E8" s="2">
        <v>0</v>
      </c>
      <c r="F8" s="3">
        <v>4.0000000000000002E-4</v>
      </c>
      <c r="G8" s="2">
        <v>0</v>
      </c>
      <c r="H8" s="2">
        <v>0</v>
      </c>
      <c r="I8" s="3">
        <v>4.5999999999999999E-3</v>
      </c>
      <c r="J8" s="3">
        <v>4.1000000000000003E-3</v>
      </c>
      <c r="K8" s="3">
        <v>4.5999999999999999E-3</v>
      </c>
      <c r="L8" s="3">
        <v>7.9000000000000001E-4</v>
      </c>
      <c r="M8" s="3">
        <v>7.9000000000000001E-4</v>
      </c>
      <c r="N8" s="2">
        <v>0</v>
      </c>
      <c r="O8" s="2">
        <v>0</v>
      </c>
      <c r="P8" s="3">
        <v>4.3E-3</v>
      </c>
      <c r="Q8" s="3">
        <v>4.3499999999999997E-2</v>
      </c>
      <c r="R8" s="3">
        <v>7.3000000000000001E-3</v>
      </c>
      <c r="S8" s="3">
        <v>4.4999999999999999E-4</v>
      </c>
      <c r="T8" s="3">
        <v>3.1800000000000002E-2</v>
      </c>
      <c r="U8" s="3">
        <v>8.5999999999999998E-4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3">
        <v>2E-3</v>
      </c>
      <c r="AE8" s="3">
        <v>2.3E-3</v>
      </c>
      <c r="AF8" s="3">
        <v>1.1999999999999999E-3</v>
      </c>
      <c r="AG8" s="4">
        <v>9.5199999999999997E-5</v>
      </c>
      <c r="AH8" s="3">
        <v>1.1000000000000001E-3</v>
      </c>
      <c r="AI8" s="3">
        <v>1.6000000000000001E-4</v>
      </c>
      <c r="AJ8" s="2">
        <v>0</v>
      </c>
      <c r="AK8" s="4">
        <v>9.7200000000000004E-5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3">
        <v>2.3999999999999998E-3</v>
      </c>
      <c r="AY8" s="3">
        <v>7.9000000000000008E-3</v>
      </c>
    </row>
    <row r="9" spans="2:51" x14ac:dyDescent="0.2">
      <c r="B9" s="1" t="s">
        <v>28</v>
      </c>
      <c r="C9" s="2">
        <v>0</v>
      </c>
      <c r="D9" s="3">
        <v>1.95E-2</v>
      </c>
      <c r="E9" s="4">
        <v>9.98E-5</v>
      </c>
      <c r="F9" s="3">
        <v>8.0000000000000004E-4</v>
      </c>
      <c r="G9" s="2">
        <v>0</v>
      </c>
      <c r="H9" s="2">
        <v>0</v>
      </c>
      <c r="I9" s="3">
        <v>1.1000000000000001E-3</v>
      </c>
      <c r="J9" s="3">
        <v>1E-3</v>
      </c>
      <c r="K9" s="3">
        <v>1.1000000000000001E-3</v>
      </c>
      <c r="L9" s="3">
        <v>7.9000000000000001E-4</v>
      </c>
      <c r="M9" s="3">
        <v>7.9000000000000001E-4</v>
      </c>
      <c r="N9" s="3">
        <v>1.2999999999999999E-3</v>
      </c>
      <c r="O9" s="2">
        <v>0</v>
      </c>
      <c r="P9" s="3">
        <v>9.3000000000000005E-4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3">
        <v>3.4000000000000002E-4</v>
      </c>
      <c r="Z9" s="2">
        <v>0</v>
      </c>
      <c r="AA9" s="2">
        <v>0</v>
      </c>
      <c r="AB9" s="3">
        <v>3.2000000000000003E-4</v>
      </c>
      <c r="AC9" s="2">
        <v>0</v>
      </c>
      <c r="AD9" s="3">
        <v>3.5E-4</v>
      </c>
      <c r="AE9" s="3">
        <v>4.6000000000000001E-4</v>
      </c>
      <c r="AF9" s="3">
        <v>2.2000000000000001E-4</v>
      </c>
      <c r="AG9" s="3">
        <v>2.9E-4</v>
      </c>
      <c r="AH9" s="3">
        <v>7.6000000000000004E-4</v>
      </c>
      <c r="AI9" s="4">
        <v>7.7899999999999996E-5</v>
      </c>
      <c r="AJ9" s="2">
        <v>0</v>
      </c>
      <c r="AK9" s="3">
        <v>1.1999999999999999E-3</v>
      </c>
      <c r="AL9" s="3">
        <v>1.2999999999999999E-3</v>
      </c>
      <c r="AM9" s="3">
        <v>4.2999999999999999E-4</v>
      </c>
      <c r="AN9" s="3">
        <v>5.9000000000000003E-4</v>
      </c>
      <c r="AO9" s="3">
        <v>2E-3</v>
      </c>
      <c r="AP9" s="3">
        <v>1.1000000000000001E-3</v>
      </c>
      <c r="AQ9" s="2">
        <v>0</v>
      </c>
      <c r="AR9" s="3">
        <v>3.1E-4</v>
      </c>
      <c r="AS9" s="3">
        <v>6.3000000000000003E-4</v>
      </c>
      <c r="AT9" s="3">
        <v>1.7000000000000001E-4</v>
      </c>
      <c r="AU9" s="2">
        <v>0</v>
      </c>
      <c r="AV9" s="2">
        <v>0</v>
      </c>
      <c r="AW9" s="4">
        <v>5.77E-5</v>
      </c>
      <c r="AX9" s="3">
        <v>8.0000000000000004E-4</v>
      </c>
      <c r="AY9" s="3">
        <v>2.8999999999999998E-3</v>
      </c>
    </row>
    <row r="10" spans="2:51" x14ac:dyDescent="0.2">
      <c r="B10" s="1" t="s">
        <v>29</v>
      </c>
      <c r="C10" s="2">
        <v>0</v>
      </c>
      <c r="D10" s="3">
        <v>2.2000000000000001E-4</v>
      </c>
      <c r="E10" s="2">
        <v>0</v>
      </c>
      <c r="F10" s="3">
        <v>2.8E-3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3">
        <v>3.1E-4</v>
      </c>
      <c r="Q10" s="3">
        <v>9.5E-4</v>
      </c>
      <c r="R10" s="3">
        <v>3.6000000000000002E-4</v>
      </c>
      <c r="S10" s="2">
        <v>0</v>
      </c>
      <c r="T10" s="2">
        <v>0</v>
      </c>
      <c r="U10" s="3">
        <v>1.6999999999999999E-3</v>
      </c>
      <c r="V10" s="2">
        <v>0</v>
      </c>
      <c r="W10" s="3">
        <v>1.1999999999999999E-3</v>
      </c>
      <c r="X10" s="3">
        <v>3.8E-3</v>
      </c>
      <c r="Y10" s="3">
        <v>1E-3</v>
      </c>
      <c r="Z10" s="3">
        <v>3.8E-3</v>
      </c>
      <c r="AA10" s="3">
        <v>8.2000000000000007E-3</v>
      </c>
      <c r="AB10" s="3">
        <v>2.5999999999999999E-3</v>
      </c>
      <c r="AC10" s="2">
        <v>0</v>
      </c>
      <c r="AD10" s="3">
        <v>1.4E-3</v>
      </c>
      <c r="AE10" s="3">
        <v>4.6000000000000001E-4</v>
      </c>
      <c r="AF10" s="3">
        <v>2.5999999999999999E-3</v>
      </c>
      <c r="AG10" s="3">
        <v>6.7000000000000002E-4</v>
      </c>
      <c r="AH10" s="3">
        <v>1.1000000000000001E-3</v>
      </c>
      <c r="AI10" s="3">
        <v>1.8E-3</v>
      </c>
      <c r="AJ10" s="2">
        <v>0</v>
      </c>
      <c r="AK10" s="3">
        <v>3.8999999999999998E-3</v>
      </c>
      <c r="AL10" s="3">
        <v>5.7000000000000002E-3</v>
      </c>
      <c r="AM10" s="3">
        <v>3.7000000000000002E-3</v>
      </c>
      <c r="AN10" s="3">
        <v>2.3999999999999998E-3</v>
      </c>
      <c r="AO10" s="3">
        <v>4.8999999999999998E-3</v>
      </c>
      <c r="AP10" s="3">
        <v>3.2000000000000002E-3</v>
      </c>
      <c r="AQ10" s="2">
        <v>0</v>
      </c>
      <c r="AR10" s="3">
        <v>7.6999999999999996E-4</v>
      </c>
      <c r="AS10" s="3">
        <v>1.2999999999999999E-3</v>
      </c>
      <c r="AT10" s="3">
        <v>9.2000000000000003E-4</v>
      </c>
      <c r="AU10" s="3">
        <v>5.1000000000000004E-4</v>
      </c>
      <c r="AV10" s="3">
        <v>9.8999999999999999E-4</v>
      </c>
      <c r="AW10" s="3">
        <v>8.7000000000000001E-4</v>
      </c>
      <c r="AX10" s="3">
        <v>1.4E-3</v>
      </c>
      <c r="AY10" s="3">
        <v>1.8E-3</v>
      </c>
    </row>
    <row r="11" spans="2:51" x14ac:dyDescent="0.2">
      <c r="B11" s="1" t="s">
        <v>30</v>
      </c>
      <c r="C11" s="2">
        <v>0</v>
      </c>
      <c r="D11" s="3">
        <v>8.4099999999999994E-2</v>
      </c>
      <c r="E11" s="3">
        <v>2.5000000000000001E-4</v>
      </c>
      <c r="F11" s="3">
        <v>6.9199999999999998E-2</v>
      </c>
      <c r="G11" s="2">
        <v>0</v>
      </c>
      <c r="H11" s="2">
        <v>0</v>
      </c>
      <c r="I11" s="3">
        <v>7.3200000000000001E-2</v>
      </c>
      <c r="J11" s="3">
        <v>8.1799999999999998E-2</v>
      </c>
      <c r="K11" s="3">
        <v>7.3200000000000001E-2</v>
      </c>
      <c r="L11" s="3">
        <v>9.4E-2</v>
      </c>
      <c r="M11" s="3">
        <v>9.4E-2</v>
      </c>
      <c r="N11" s="3">
        <v>0.13700000000000001</v>
      </c>
      <c r="O11" s="2">
        <v>0</v>
      </c>
      <c r="P11" s="3">
        <v>3.9399999999999998E-2</v>
      </c>
      <c r="Q11" s="3">
        <v>4.6399999999999997E-2</v>
      </c>
      <c r="R11" s="3">
        <v>6.1199999999999997E-2</v>
      </c>
      <c r="S11" s="3">
        <v>9.0899999999999995E-2</v>
      </c>
      <c r="T11" s="3">
        <v>5.9700000000000003E-2</v>
      </c>
      <c r="U11" s="3">
        <v>6.7500000000000004E-2</v>
      </c>
      <c r="V11" s="2">
        <v>0</v>
      </c>
      <c r="W11" s="3">
        <v>0.111</v>
      </c>
      <c r="X11" s="3">
        <v>0.129</v>
      </c>
      <c r="Y11" s="3">
        <v>0.129</v>
      </c>
      <c r="Z11" s="3">
        <v>0.16400000000000001</v>
      </c>
      <c r="AA11" s="3">
        <v>0.16</v>
      </c>
      <c r="AB11" s="3">
        <v>0.14799999999999999</v>
      </c>
      <c r="AC11" s="2">
        <v>0</v>
      </c>
      <c r="AD11" s="3">
        <v>0.16300000000000001</v>
      </c>
      <c r="AE11" s="3">
        <v>0.17100000000000001</v>
      </c>
      <c r="AF11" s="3">
        <v>0.17699999999999999</v>
      </c>
      <c r="AG11" s="3">
        <v>0.151</v>
      </c>
      <c r="AH11" s="3">
        <v>0.13600000000000001</v>
      </c>
      <c r="AI11" s="3">
        <v>0.154</v>
      </c>
      <c r="AJ11" s="2">
        <v>0</v>
      </c>
      <c r="AK11" s="3">
        <v>0.109</v>
      </c>
      <c r="AL11" s="3">
        <v>9.1700000000000004E-2</v>
      </c>
      <c r="AM11" s="3">
        <v>9.7500000000000003E-2</v>
      </c>
      <c r="AN11" s="3">
        <v>9.01E-2</v>
      </c>
      <c r="AO11" s="3">
        <v>0.13100000000000001</v>
      </c>
      <c r="AP11" s="3">
        <v>0.126</v>
      </c>
      <c r="AQ11" s="2">
        <v>0</v>
      </c>
      <c r="AR11" s="3">
        <v>6.5299999999999997E-2</v>
      </c>
      <c r="AS11" s="3">
        <v>5.91E-2</v>
      </c>
      <c r="AT11" s="3">
        <v>6.6400000000000001E-2</v>
      </c>
      <c r="AU11" s="3">
        <v>5.4100000000000002E-2</v>
      </c>
      <c r="AV11" s="3">
        <v>8.6999999999999994E-2</v>
      </c>
      <c r="AW11" s="3">
        <v>7.7100000000000002E-2</v>
      </c>
      <c r="AX11" s="3">
        <v>8.3400000000000002E-2</v>
      </c>
      <c r="AY11" s="3">
        <v>5.5199999999999999E-2</v>
      </c>
    </row>
    <row r="12" spans="2:51" x14ac:dyDescent="0.2">
      <c r="B12" s="1" t="s">
        <v>31</v>
      </c>
      <c r="C12" s="2">
        <v>0</v>
      </c>
      <c r="D12" s="3">
        <v>6.6E-4</v>
      </c>
      <c r="E12" s="3">
        <v>4.7000000000000002E-3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3">
        <v>4.2999999999999999E-4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3">
        <v>1.2E-4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3">
        <v>1.2999999999999999E-4</v>
      </c>
      <c r="AY12" s="3">
        <v>7.1000000000000002E-4</v>
      </c>
    </row>
    <row r="13" spans="2:51" x14ac:dyDescent="0.2">
      <c r="B13" s="1" t="s">
        <v>32</v>
      </c>
      <c r="C13" s="3">
        <v>0.99399999999999999</v>
      </c>
      <c r="D13" s="3">
        <v>9.06E-2</v>
      </c>
      <c r="E13" s="3">
        <v>0.66500000000000004</v>
      </c>
      <c r="F13" s="3">
        <v>5.1200000000000002E-2</v>
      </c>
      <c r="G13" s="3">
        <v>0.997</v>
      </c>
      <c r="H13" s="3">
        <v>0.996</v>
      </c>
      <c r="I13" s="3">
        <v>3.78E-2</v>
      </c>
      <c r="J13" s="3">
        <v>4.9299999999999997E-2</v>
      </c>
      <c r="K13" s="3">
        <v>3.78E-2</v>
      </c>
      <c r="L13" s="3">
        <v>5.21E-2</v>
      </c>
      <c r="M13" s="3">
        <v>5.21E-2</v>
      </c>
      <c r="N13" s="3">
        <v>4.9099999999999998E-2</v>
      </c>
      <c r="O13" s="3">
        <v>0.997</v>
      </c>
      <c r="P13" s="3">
        <v>0.15</v>
      </c>
      <c r="Q13" s="3">
        <v>8.5099999999999995E-2</v>
      </c>
      <c r="R13" s="3">
        <v>0.16800000000000001</v>
      </c>
      <c r="S13" s="3">
        <v>0.19800000000000001</v>
      </c>
      <c r="T13" s="3">
        <v>0.123</v>
      </c>
      <c r="U13" s="3">
        <v>0.19700000000000001</v>
      </c>
      <c r="V13" s="3">
        <v>0.99199999999999999</v>
      </c>
      <c r="W13" s="3">
        <v>0.28499999999999998</v>
      </c>
      <c r="X13" s="3">
        <v>0.128</v>
      </c>
      <c r="Y13" s="3">
        <v>0.27600000000000002</v>
      </c>
      <c r="Z13" s="3">
        <v>0.30099999999999999</v>
      </c>
      <c r="AA13" s="3">
        <v>0.18099999999999999</v>
      </c>
      <c r="AB13" s="3">
        <v>0.316</v>
      </c>
      <c r="AC13" s="3">
        <v>0.98299999999999998</v>
      </c>
      <c r="AD13" s="3">
        <v>0.432</v>
      </c>
      <c r="AE13" s="3">
        <v>0.33200000000000002</v>
      </c>
      <c r="AF13" s="3">
        <v>0.35699999999999998</v>
      </c>
      <c r="AG13" s="3">
        <v>0.505</v>
      </c>
      <c r="AH13" s="3">
        <v>0.35299999999999998</v>
      </c>
      <c r="AI13" s="3">
        <v>0.40100000000000002</v>
      </c>
      <c r="AJ13" s="3">
        <v>0.98599999999999999</v>
      </c>
      <c r="AK13" s="3">
        <v>0.33600000000000002</v>
      </c>
      <c r="AL13" s="3">
        <v>0.20499999999999999</v>
      </c>
      <c r="AM13" s="3">
        <v>0.20599999999999999</v>
      </c>
      <c r="AN13" s="3">
        <v>0.23100000000000001</v>
      </c>
      <c r="AO13" s="3">
        <v>0.35199999999999998</v>
      </c>
      <c r="AP13" s="3">
        <v>0.186</v>
      </c>
      <c r="AQ13" s="3">
        <v>0.995</v>
      </c>
      <c r="AR13" s="3">
        <v>0.56999999999999995</v>
      </c>
      <c r="AS13" s="3">
        <v>0.39600000000000002</v>
      </c>
      <c r="AT13" s="3">
        <v>0.433</v>
      </c>
      <c r="AU13" s="3">
        <v>0.77</v>
      </c>
      <c r="AV13" s="3">
        <v>0.371</v>
      </c>
      <c r="AW13" s="3">
        <v>0.39500000000000002</v>
      </c>
      <c r="AX13" s="3">
        <v>0.40400000000000003</v>
      </c>
      <c r="AY13" s="3">
        <v>0.31900000000000001</v>
      </c>
    </row>
    <row r="14" spans="2:51" x14ac:dyDescent="0.2">
      <c r="B14" s="1" t="s">
        <v>33</v>
      </c>
      <c r="C14" s="2">
        <v>0</v>
      </c>
      <c r="D14" s="3">
        <v>0.21</v>
      </c>
      <c r="E14" s="3">
        <v>0.30299999999999999</v>
      </c>
      <c r="F14" s="3">
        <v>0.61499999999999999</v>
      </c>
      <c r="G14" s="2">
        <v>0</v>
      </c>
      <c r="H14" s="3">
        <v>4.3E-3</v>
      </c>
      <c r="I14" s="3">
        <v>7.0900000000000005E-2</v>
      </c>
      <c r="J14" s="3">
        <v>8.3799999999999999E-2</v>
      </c>
      <c r="K14" s="3">
        <v>7.0900000000000005E-2</v>
      </c>
      <c r="L14" s="3">
        <v>7.1099999999999997E-2</v>
      </c>
      <c r="M14" s="3">
        <v>7.1099999999999997E-2</v>
      </c>
      <c r="N14" s="3">
        <v>9.5699999999999993E-2</v>
      </c>
      <c r="O14" s="2">
        <v>0</v>
      </c>
      <c r="P14" s="3">
        <v>0.21199999999999999</v>
      </c>
      <c r="Q14" s="3">
        <v>0.186</v>
      </c>
      <c r="R14" s="3">
        <v>0.245</v>
      </c>
      <c r="S14" s="3">
        <v>0.27100000000000002</v>
      </c>
      <c r="T14" s="3">
        <v>0.24399999999999999</v>
      </c>
      <c r="U14" s="3">
        <v>0.32700000000000001</v>
      </c>
      <c r="V14" s="3">
        <v>1.1999999999999999E-3</v>
      </c>
      <c r="W14" s="3">
        <v>0.32</v>
      </c>
      <c r="X14" s="3">
        <v>0.40100000000000002</v>
      </c>
      <c r="Y14" s="3">
        <v>0.35399999999999998</v>
      </c>
      <c r="Z14" s="3">
        <v>0.32700000000000001</v>
      </c>
      <c r="AA14" s="3">
        <v>0.28100000000000003</v>
      </c>
      <c r="AB14" s="3">
        <v>0.35399999999999998</v>
      </c>
      <c r="AC14" s="2">
        <v>0</v>
      </c>
      <c r="AD14" s="3">
        <v>0.153</v>
      </c>
      <c r="AE14" s="3">
        <v>0.18099999999999999</v>
      </c>
      <c r="AF14" s="3">
        <v>0.18099999999999999</v>
      </c>
      <c r="AG14" s="3">
        <v>0.14499999999999999</v>
      </c>
      <c r="AH14" s="3">
        <v>0.18</v>
      </c>
      <c r="AI14" s="3">
        <v>0.16800000000000001</v>
      </c>
      <c r="AJ14" s="2">
        <v>0</v>
      </c>
      <c r="AK14" s="3">
        <v>4.82E-2</v>
      </c>
      <c r="AL14" s="3">
        <v>7.3800000000000004E-2</v>
      </c>
      <c r="AM14" s="3">
        <v>3.9199999999999999E-2</v>
      </c>
      <c r="AN14" s="3">
        <v>6.7599999999999993E-2</v>
      </c>
      <c r="AO14" s="3">
        <v>4.3099999999999999E-2</v>
      </c>
      <c r="AP14" s="3">
        <v>4.3200000000000002E-2</v>
      </c>
      <c r="AQ14" s="2">
        <v>0</v>
      </c>
      <c r="AR14" s="3">
        <v>1.46E-2</v>
      </c>
      <c r="AS14" s="3">
        <v>2.47E-2</v>
      </c>
      <c r="AT14" s="3">
        <v>1.34E-2</v>
      </c>
      <c r="AU14" s="3">
        <v>1.7899999999999999E-2</v>
      </c>
      <c r="AV14" s="3">
        <v>2.4899999999999999E-2</v>
      </c>
      <c r="AW14" s="3">
        <v>1.4500000000000001E-2</v>
      </c>
      <c r="AX14" s="3">
        <v>0.14199999999999999</v>
      </c>
      <c r="AY14" s="3">
        <v>0.14299999999999999</v>
      </c>
    </row>
    <row r="15" spans="2:51" x14ac:dyDescent="0.2">
      <c r="B15" s="1" t="s">
        <v>34</v>
      </c>
      <c r="C15" s="2">
        <v>0</v>
      </c>
      <c r="D15" s="3">
        <v>7.2300000000000003E-2</v>
      </c>
      <c r="E15" s="3">
        <v>5.5000000000000003E-4</v>
      </c>
      <c r="F15" s="3">
        <v>1.1999999999999999E-3</v>
      </c>
      <c r="G15" s="2">
        <v>0</v>
      </c>
      <c r="H15" s="2">
        <v>0</v>
      </c>
      <c r="I15" s="3">
        <v>3.3999999999999998E-3</v>
      </c>
      <c r="J15" s="3">
        <v>2E-3</v>
      </c>
      <c r="K15" s="3">
        <v>3.3999999999999998E-3</v>
      </c>
      <c r="L15" s="3">
        <v>7.9000000000000001E-4</v>
      </c>
      <c r="M15" s="3">
        <v>7.9000000000000001E-4</v>
      </c>
      <c r="N15" s="3">
        <v>6.3000000000000003E-4</v>
      </c>
      <c r="O15" s="2">
        <v>0</v>
      </c>
      <c r="P15" s="3">
        <v>6.2E-4</v>
      </c>
      <c r="Q15" s="3">
        <v>1.9E-3</v>
      </c>
      <c r="R15" s="3">
        <v>1.5E-3</v>
      </c>
      <c r="S15" s="3">
        <v>8.9999999999999998E-4</v>
      </c>
      <c r="T15" s="2">
        <v>0</v>
      </c>
      <c r="U15" s="3">
        <v>1.2999999999999999E-3</v>
      </c>
      <c r="V15" s="2">
        <v>0</v>
      </c>
      <c r="W15" s="3">
        <v>2.3E-3</v>
      </c>
      <c r="X15" s="3">
        <v>5.0000000000000001E-3</v>
      </c>
      <c r="Y15" s="3">
        <v>1.6999999999999999E-3</v>
      </c>
      <c r="Z15" s="3">
        <v>4.4999999999999997E-3</v>
      </c>
      <c r="AA15" s="3">
        <v>3.5000000000000001E-3</v>
      </c>
      <c r="AB15" s="3">
        <v>2.3E-3</v>
      </c>
      <c r="AC15" s="2">
        <v>0</v>
      </c>
      <c r="AD15" s="3">
        <v>1.2E-4</v>
      </c>
      <c r="AE15" s="2">
        <v>0</v>
      </c>
      <c r="AF15" s="2">
        <v>0</v>
      </c>
      <c r="AG15" s="4">
        <v>9.5199999999999997E-5</v>
      </c>
      <c r="AH15" s="3">
        <v>3.8000000000000002E-4</v>
      </c>
      <c r="AI15" s="2">
        <v>0</v>
      </c>
      <c r="AJ15" s="3">
        <v>1.4E-3</v>
      </c>
      <c r="AK15" s="3">
        <v>2.8E-3</v>
      </c>
      <c r="AL15" s="3">
        <v>1.1599999999999999E-2</v>
      </c>
      <c r="AM15" s="3">
        <v>4.7999999999999996E-3</v>
      </c>
      <c r="AN15" s="3">
        <v>0.01</v>
      </c>
      <c r="AO15" s="3">
        <v>4.1999999999999997E-3</v>
      </c>
      <c r="AP15" s="3">
        <v>5.4999999999999997E-3</v>
      </c>
      <c r="AQ15" s="2">
        <v>0</v>
      </c>
      <c r="AR15" s="2">
        <v>0</v>
      </c>
      <c r="AS15" s="3">
        <v>3.1E-4</v>
      </c>
      <c r="AT15" s="4">
        <v>5.7800000000000002E-5</v>
      </c>
      <c r="AU15" s="2">
        <v>0</v>
      </c>
      <c r="AV15" s="3">
        <v>2.5000000000000001E-4</v>
      </c>
      <c r="AW15" s="3">
        <v>2.0999999999999999E-3</v>
      </c>
      <c r="AX15" s="3">
        <v>3.3E-3</v>
      </c>
      <c r="AY15" s="3">
        <v>1.0800000000000001E-2</v>
      </c>
    </row>
    <row r="16" spans="2:51" x14ac:dyDescent="0.2">
      <c r="B16" s="1" t="s">
        <v>35</v>
      </c>
      <c r="C16" s="2">
        <v>0</v>
      </c>
      <c r="D16" s="3">
        <v>0.157</v>
      </c>
      <c r="E16" s="3">
        <v>1.6000000000000001E-3</v>
      </c>
      <c r="F16" s="3">
        <v>0.01</v>
      </c>
      <c r="G16" s="2">
        <v>0</v>
      </c>
      <c r="H16" s="2">
        <v>0</v>
      </c>
      <c r="I16" s="3">
        <v>1.1000000000000001E-3</v>
      </c>
      <c r="J16" s="3">
        <v>5.5999999999999999E-3</v>
      </c>
      <c r="K16" s="3">
        <v>1.1000000000000001E-3</v>
      </c>
      <c r="L16" s="3">
        <v>3.2000000000000002E-3</v>
      </c>
      <c r="M16" s="3">
        <v>3.2000000000000002E-3</v>
      </c>
      <c r="N16" s="3">
        <v>3.8E-3</v>
      </c>
      <c r="O16" s="2">
        <v>0</v>
      </c>
      <c r="P16" s="3">
        <v>6.4999999999999997E-3</v>
      </c>
      <c r="Q16" s="3">
        <v>6.6E-3</v>
      </c>
      <c r="R16" s="3">
        <v>1.0200000000000001E-2</v>
      </c>
      <c r="S16" s="3">
        <v>3.5999999999999999E-3</v>
      </c>
      <c r="T16" s="3">
        <v>5.3E-3</v>
      </c>
      <c r="U16" s="3">
        <v>4.3E-3</v>
      </c>
      <c r="V16" s="2">
        <v>0</v>
      </c>
      <c r="W16" s="3">
        <v>3.15E-2</v>
      </c>
      <c r="X16" s="3">
        <v>2.12E-2</v>
      </c>
      <c r="Y16" s="3">
        <v>4.24E-2</v>
      </c>
      <c r="Z16" s="3">
        <v>1.3599999999999999E-2</v>
      </c>
      <c r="AA16" s="3">
        <v>2.58E-2</v>
      </c>
      <c r="AB16" s="3">
        <v>1.8700000000000001E-2</v>
      </c>
      <c r="AC16" s="2">
        <v>0</v>
      </c>
      <c r="AD16" s="3">
        <v>0.112</v>
      </c>
      <c r="AE16" s="3">
        <v>0.14399999999999999</v>
      </c>
      <c r="AF16" s="3">
        <v>0.16800000000000001</v>
      </c>
      <c r="AG16" s="3">
        <v>6.88E-2</v>
      </c>
      <c r="AH16" s="3">
        <v>0.158</v>
      </c>
      <c r="AI16" s="3">
        <v>0.16200000000000001</v>
      </c>
      <c r="AJ16" s="2">
        <v>0</v>
      </c>
      <c r="AK16" s="3">
        <v>0.34200000000000003</v>
      </c>
      <c r="AL16" s="3">
        <v>0.32</v>
      </c>
      <c r="AM16" s="3">
        <v>0.45700000000000002</v>
      </c>
      <c r="AN16" s="3">
        <v>0.36799999999999999</v>
      </c>
      <c r="AO16" s="3">
        <v>0.28499999999999998</v>
      </c>
      <c r="AP16" s="3">
        <v>0.47699999999999998</v>
      </c>
      <c r="AQ16" s="2">
        <v>0</v>
      </c>
      <c r="AR16" s="3">
        <v>0.29399999999999998</v>
      </c>
      <c r="AS16" s="3">
        <v>0.39900000000000002</v>
      </c>
      <c r="AT16" s="3">
        <v>0.42499999999999999</v>
      </c>
      <c r="AU16" s="3">
        <v>0.127</v>
      </c>
      <c r="AV16" s="3">
        <v>0.45100000000000001</v>
      </c>
      <c r="AW16" s="3">
        <v>0.45800000000000002</v>
      </c>
    </row>
    <row r="19" spans="2:51" x14ac:dyDescent="0.2">
      <c r="C19" s="2"/>
      <c r="D19" s="3"/>
      <c r="E19" s="3"/>
      <c r="F19" s="3"/>
      <c r="G19" s="2"/>
      <c r="H19" s="2"/>
      <c r="I19" s="2"/>
      <c r="J19" s="2"/>
      <c r="K19" s="3"/>
      <c r="L19" s="2"/>
      <c r="M19" s="2"/>
      <c r="N19" s="2"/>
      <c r="O19" s="2"/>
      <c r="P19" s="2"/>
      <c r="Q19" s="2"/>
      <c r="R19" s="2"/>
      <c r="T19" s="2"/>
      <c r="U19" s="2"/>
      <c r="V19" s="2"/>
      <c r="W19" s="2"/>
      <c r="X19" s="2"/>
      <c r="Y19" s="2"/>
      <c r="AB19" s="2"/>
      <c r="AC19" s="2"/>
      <c r="AD19" s="2"/>
      <c r="AE19" s="3"/>
      <c r="AF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  <c r="AS19" s="3"/>
      <c r="AT19" s="3"/>
      <c r="AU19" s="2"/>
      <c r="AW19" s="2"/>
      <c r="AX19" s="3"/>
      <c r="AY19" s="3"/>
    </row>
    <row r="20" spans="2:51" x14ac:dyDescent="0.2">
      <c r="C20" s="2"/>
      <c r="D20" s="3"/>
      <c r="E20" s="2"/>
      <c r="F20" s="2"/>
      <c r="G20" s="2"/>
      <c r="H20" s="2"/>
      <c r="I20" s="3"/>
      <c r="J20" s="3"/>
      <c r="K20" s="3"/>
      <c r="L20" s="3"/>
      <c r="M20" s="3"/>
      <c r="N20" s="3"/>
      <c r="O20" s="2"/>
      <c r="P20" s="3"/>
      <c r="Q20" s="3"/>
      <c r="R20" s="3"/>
      <c r="T20" s="3"/>
      <c r="U20" s="3"/>
      <c r="V20" s="2"/>
      <c r="W20" s="3"/>
      <c r="X20" s="3"/>
      <c r="Y20" s="3"/>
      <c r="AB20" s="3"/>
      <c r="AC20" s="2"/>
      <c r="AD20" s="3"/>
      <c r="AE20" s="2"/>
      <c r="AF20" s="3"/>
      <c r="AH20" s="3"/>
      <c r="AI20" s="3"/>
      <c r="AJ20" s="2"/>
      <c r="AK20" s="4"/>
      <c r="AL20" s="2"/>
      <c r="AM20" s="4"/>
      <c r="AN20" s="3"/>
      <c r="AO20" s="3"/>
      <c r="AP20" s="3"/>
      <c r="AQ20" s="2"/>
      <c r="AR20" s="3"/>
      <c r="AS20" s="3"/>
      <c r="AT20" s="3"/>
      <c r="AU20" s="2"/>
      <c r="AW20" s="3"/>
      <c r="AX20" s="3"/>
      <c r="AY20" s="3"/>
    </row>
    <row r="21" spans="2:51" x14ac:dyDescent="0.2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2"/>
      <c r="U21" s="2"/>
      <c r="V21" s="2"/>
      <c r="W21" s="2"/>
      <c r="X21" s="2"/>
      <c r="Y21" s="2"/>
      <c r="AB21" s="2"/>
      <c r="AC21" s="2"/>
      <c r="AD21" s="2"/>
      <c r="AE21" s="2"/>
      <c r="AF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W21" s="2"/>
      <c r="AX21" s="2"/>
      <c r="AY21" s="2"/>
    </row>
    <row r="22" spans="2:51" ht="13" customHeight="1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3"/>
      <c r="R22" s="2"/>
      <c r="T22" s="2"/>
      <c r="U22" s="2"/>
      <c r="V22" s="2"/>
      <c r="W22" s="2"/>
      <c r="X22" s="2"/>
      <c r="Y22" s="2"/>
      <c r="AB22" s="3"/>
      <c r="AC22" s="2"/>
      <c r="AD22" s="2"/>
      <c r="AE22" s="2"/>
      <c r="AF22" s="4"/>
      <c r="AH22" s="4"/>
      <c r="AI22" s="3"/>
      <c r="AJ22" s="2"/>
      <c r="AK22" s="3"/>
      <c r="AL22" s="3"/>
      <c r="AM22" s="3"/>
      <c r="AN22" s="3"/>
      <c r="AO22" s="3"/>
      <c r="AP22" s="4"/>
      <c r="AQ22" s="2"/>
      <c r="AR22" s="3"/>
      <c r="AS22" s="3"/>
      <c r="AT22" s="3"/>
      <c r="AU22" s="3"/>
      <c r="AW22" s="3"/>
      <c r="AX22" s="3"/>
      <c r="AY22" s="3"/>
    </row>
    <row r="23" spans="2:51" x14ac:dyDescent="0.2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T23" s="2"/>
      <c r="U23" s="2"/>
      <c r="V23" s="2"/>
      <c r="W23" s="2"/>
      <c r="X23" s="2"/>
      <c r="Y23" s="2"/>
      <c r="AB23" s="2"/>
      <c r="AC23" s="2"/>
      <c r="AD23" s="2"/>
      <c r="AE23" s="2"/>
      <c r="AF23" s="2"/>
      <c r="AH23" s="2"/>
      <c r="AI23" s="2"/>
      <c r="AJ23" s="2"/>
      <c r="AK23" s="3"/>
      <c r="AL23" s="2"/>
      <c r="AM23" s="2"/>
      <c r="AN23" s="2"/>
      <c r="AO23" s="3"/>
      <c r="AP23" s="2"/>
      <c r="AQ23" s="2"/>
      <c r="AR23" s="2"/>
      <c r="AS23" s="3"/>
      <c r="AT23" s="3"/>
      <c r="AU23" s="3"/>
      <c r="AW23" s="3"/>
      <c r="AX23" s="4"/>
      <c r="AY23" s="4"/>
    </row>
    <row r="24" spans="2:51" x14ac:dyDescent="0.2">
      <c r="C24" s="2"/>
      <c r="D24" s="3"/>
      <c r="E24" s="2"/>
      <c r="F24" s="3"/>
      <c r="G24" s="2"/>
      <c r="H24" s="2"/>
      <c r="I24" s="3"/>
      <c r="J24" s="3"/>
      <c r="K24" s="3"/>
      <c r="L24" s="3"/>
      <c r="M24" s="3"/>
      <c r="N24" s="3"/>
      <c r="O24" s="2"/>
      <c r="P24" s="3"/>
      <c r="Q24" s="3"/>
      <c r="R24" s="3"/>
      <c r="T24" s="3"/>
      <c r="U24" s="3"/>
      <c r="V24" s="2"/>
      <c r="W24" s="3"/>
      <c r="X24" s="3"/>
      <c r="Y24" s="3"/>
      <c r="AB24" s="3"/>
      <c r="AC24" s="2"/>
      <c r="AD24" s="3"/>
      <c r="AE24" s="3"/>
      <c r="AF24" s="3"/>
      <c r="AH24" s="3"/>
      <c r="AI24" s="3"/>
      <c r="AJ24" s="2"/>
      <c r="AK24" s="3"/>
      <c r="AL24" s="3"/>
      <c r="AM24" s="3"/>
      <c r="AN24" s="3"/>
      <c r="AO24" s="3"/>
      <c r="AP24" s="3"/>
      <c r="AQ24" s="2"/>
      <c r="AR24" s="3"/>
      <c r="AS24" s="3"/>
      <c r="AT24" s="3"/>
      <c r="AU24" s="3"/>
      <c r="AW24" s="3"/>
      <c r="AX24" s="3"/>
      <c r="AY24" s="3"/>
    </row>
    <row r="25" spans="2:51" x14ac:dyDescent="0.2"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T25" s="2"/>
      <c r="U25" s="2"/>
      <c r="V25" s="2"/>
      <c r="W25" s="2"/>
      <c r="X25" s="2"/>
      <c r="Y25" s="2"/>
      <c r="AB25" s="2"/>
      <c r="AC25" s="2"/>
      <c r="AD25" s="2"/>
      <c r="AE25" s="2"/>
      <c r="AF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W25" s="2"/>
      <c r="AX25" s="4"/>
      <c r="AY25" s="4"/>
    </row>
    <row r="26" spans="2:51" x14ac:dyDescent="0.2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T26" s="2"/>
      <c r="U26" s="2"/>
      <c r="V26" s="2"/>
      <c r="W26" s="2"/>
      <c r="X26" s="2"/>
      <c r="Y26" s="2"/>
      <c r="AB26" s="2"/>
      <c r="AC26" s="2"/>
      <c r="AD26" s="2"/>
      <c r="AE26" s="2"/>
      <c r="AF26" s="3"/>
      <c r="AH26" s="3"/>
      <c r="AI26" s="3"/>
      <c r="AJ26" s="2"/>
      <c r="AK26" s="3"/>
      <c r="AL26" s="3"/>
      <c r="AM26" s="3"/>
      <c r="AN26" s="3"/>
      <c r="AO26" s="3"/>
      <c r="AP26" s="4"/>
      <c r="AQ26" s="2"/>
      <c r="AR26" s="2"/>
      <c r="AS26" s="3"/>
      <c r="AT26" s="3"/>
      <c r="AU26" s="3"/>
      <c r="AW26" s="3"/>
      <c r="AX26" s="3"/>
      <c r="AY26" s="3"/>
    </row>
    <row r="27" spans="2:51" x14ac:dyDescent="0.2">
      <c r="C27" s="2"/>
      <c r="D27" s="2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2"/>
      <c r="U27" s="2"/>
      <c r="V27" s="2"/>
      <c r="W27" s="2"/>
      <c r="X27" s="2"/>
      <c r="Y27" s="2"/>
      <c r="AB27" s="2"/>
      <c r="AC27" s="2"/>
      <c r="AD27" s="2"/>
      <c r="AE27" s="2"/>
      <c r="AF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W27" s="2"/>
      <c r="AX27" s="4"/>
      <c r="AY27" s="4"/>
    </row>
    <row r="28" spans="2:51" x14ac:dyDescent="0.2">
      <c r="C28" s="2"/>
      <c r="D28" s="3"/>
      <c r="E28" s="3"/>
      <c r="F28" s="3"/>
      <c r="G28" s="2"/>
      <c r="H28" s="2"/>
      <c r="I28" s="3"/>
      <c r="J28" s="3"/>
      <c r="K28" s="3"/>
      <c r="L28" s="3"/>
      <c r="M28" s="3"/>
      <c r="N28" s="3"/>
      <c r="O28" s="2"/>
      <c r="P28" s="3"/>
      <c r="Q28" s="2"/>
      <c r="R28" s="2"/>
      <c r="T28" s="2"/>
      <c r="U28" s="2"/>
      <c r="V28" s="2"/>
      <c r="W28" s="3"/>
      <c r="X28" s="2"/>
      <c r="Y28" s="2"/>
      <c r="AB28" s="2"/>
      <c r="AC28" s="2"/>
      <c r="AD28" s="3"/>
      <c r="AE28" s="3"/>
      <c r="AF28" s="3"/>
      <c r="AH28" s="3"/>
      <c r="AI28" s="3"/>
      <c r="AJ28" s="2"/>
      <c r="AK28" s="3"/>
      <c r="AL28" s="3"/>
      <c r="AM28" s="3"/>
      <c r="AN28" s="3"/>
      <c r="AO28" s="3"/>
      <c r="AP28" s="3"/>
      <c r="AQ28" s="2"/>
      <c r="AR28" s="3"/>
      <c r="AS28" s="3"/>
      <c r="AT28" s="3"/>
      <c r="AU28" s="3"/>
      <c r="AW28" s="3"/>
      <c r="AX28" s="3"/>
      <c r="AY28" s="3"/>
    </row>
    <row r="31" spans="2:51" x14ac:dyDescent="0.2">
      <c r="B31" s="1"/>
      <c r="C31" s="1"/>
    </row>
    <row r="32" spans="2:51" ht="14" customHeight="1" x14ac:dyDescent="0.2"/>
    <row r="34" spans="2:3" x14ac:dyDescent="0.2">
      <c r="B34" s="1"/>
      <c r="C34" s="5"/>
    </row>
    <row r="35" spans="2:3" x14ac:dyDescent="0.2">
      <c r="B35" s="1"/>
      <c r="C35" s="5"/>
    </row>
    <row r="36" spans="2:3" x14ac:dyDescent="0.2">
      <c r="B36" s="1"/>
      <c r="C36" s="6"/>
    </row>
    <row r="37" spans="2:3" x14ac:dyDescent="0.2">
      <c r="B37" s="1"/>
      <c r="C37" s="6"/>
    </row>
    <row r="38" spans="2:3" x14ac:dyDescent="0.2">
      <c r="B38" s="1"/>
      <c r="C38" s="5"/>
    </row>
    <row r="39" spans="2:3" x14ac:dyDescent="0.2">
      <c r="B39" s="1"/>
      <c r="C39" s="5"/>
    </row>
    <row r="40" spans="2:3" x14ac:dyDescent="0.2">
      <c r="B40" s="1"/>
      <c r="C40" s="5"/>
    </row>
    <row r="41" spans="2:3" x14ac:dyDescent="0.2">
      <c r="B41" s="1"/>
      <c r="C41" s="5"/>
    </row>
    <row r="42" spans="2:3" x14ac:dyDescent="0.2">
      <c r="B42" s="1"/>
      <c r="C42" s="6"/>
    </row>
    <row r="43" spans="2:3" x14ac:dyDescent="0.2">
      <c r="B43" s="1"/>
      <c r="C43" s="5"/>
    </row>
    <row r="44" spans="2:3" x14ac:dyDescent="0.2">
      <c r="B44" s="1"/>
      <c r="C44" s="5"/>
    </row>
    <row r="45" spans="2:3" x14ac:dyDescent="0.2">
      <c r="B45" s="1"/>
      <c r="C45" s="5"/>
    </row>
    <row r="46" spans="2:3" x14ac:dyDescent="0.2">
      <c r="B46" s="1"/>
      <c r="C46" s="5"/>
    </row>
    <row r="47" spans="2:3" x14ac:dyDescent="0.2">
      <c r="B47" s="1"/>
      <c r="C47" s="5"/>
    </row>
    <row r="48" spans="2:3" x14ac:dyDescent="0.2">
      <c r="B48" s="1"/>
      <c r="C48" s="5"/>
    </row>
    <row r="49" spans="2:3" x14ac:dyDescent="0.2">
      <c r="B49" s="1"/>
      <c r="C49" s="6"/>
    </row>
    <row r="50" spans="2:3" x14ac:dyDescent="0.2">
      <c r="B50" s="1"/>
      <c r="C50" s="5"/>
    </row>
    <row r="51" spans="2:3" x14ac:dyDescent="0.2">
      <c r="B51" s="1"/>
      <c r="C51" s="5"/>
    </row>
    <row r="52" spans="2:3" x14ac:dyDescent="0.2">
      <c r="B52" s="1"/>
      <c r="C52" s="5"/>
    </row>
    <row r="53" spans="2:3" x14ac:dyDescent="0.2">
      <c r="B53" s="1"/>
      <c r="C53" s="5"/>
    </row>
    <row r="54" spans="2:3" x14ac:dyDescent="0.2">
      <c r="B54" s="1"/>
      <c r="C54" s="5"/>
    </row>
    <row r="55" spans="2:3" x14ac:dyDescent="0.2">
      <c r="B55" s="1"/>
      <c r="C55" s="5"/>
    </row>
    <row r="56" spans="2:3" x14ac:dyDescent="0.2">
      <c r="B56" s="1"/>
      <c r="C56" s="6"/>
    </row>
    <row r="57" spans="2:3" x14ac:dyDescent="0.2">
      <c r="B57" s="1"/>
      <c r="C57" s="5"/>
    </row>
    <row r="58" spans="2:3" x14ac:dyDescent="0.2">
      <c r="B58" s="1"/>
      <c r="C58" s="5"/>
    </row>
    <row r="59" spans="2:3" x14ac:dyDescent="0.2">
      <c r="B59" s="1"/>
      <c r="C59" s="5"/>
    </row>
    <row r="60" spans="2:3" x14ac:dyDescent="0.2">
      <c r="B60" s="1"/>
      <c r="C60" s="5"/>
    </row>
    <row r="61" spans="2:3" x14ac:dyDescent="0.2">
      <c r="B61" s="1"/>
      <c r="C61" s="5"/>
    </row>
    <row r="62" spans="2:3" x14ac:dyDescent="0.2">
      <c r="B62" s="1"/>
      <c r="C62" s="5"/>
    </row>
    <row r="63" spans="2:3" x14ac:dyDescent="0.2">
      <c r="B63" s="1"/>
      <c r="C63" s="6"/>
    </row>
    <row r="64" spans="2:3" x14ac:dyDescent="0.2">
      <c r="B64" s="1"/>
      <c r="C64" s="5"/>
    </row>
    <row r="65" spans="2:3" x14ac:dyDescent="0.2">
      <c r="B65" s="1"/>
      <c r="C65" s="5"/>
    </row>
    <row r="66" spans="2:3" x14ac:dyDescent="0.2">
      <c r="B66" s="1"/>
      <c r="C66" s="5"/>
    </row>
    <row r="67" spans="2:3" x14ac:dyDescent="0.2">
      <c r="B67" s="1"/>
      <c r="C67" s="5"/>
    </row>
    <row r="68" spans="2:3" x14ac:dyDescent="0.2">
      <c r="B68" s="1"/>
      <c r="C68" s="5"/>
    </row>
    <row r="69" spans="2:3" x14ac:dyDescent="0.2">
      <c r="B69" s="1"/>
      <c r="C69" s="5"/>
    </row>
    <row r="70" spans="2:3" x14ac:dyDescent="0.2">
      <c r="B70" s="1"/>
      <c r="C70" s="6"/>
    </row>
    <row r="71" spans="2:3" x14ac:dyDescent="0.2">
      <c r="B71" s="1"/>
      <c r="C71" s="5"/>
    </row>
    <row r="72" spans="2:3" x14ac:dyDescent="0.2">
      <c r="B72" s="1"/>
      <c r="C72" s="5"/>
    </row>
    <row r="73" spans="2:3" x14ac:dyDescent="0.2">
      <c r="B73" s="1"/>
      <c r="C73" s="5"/>
    </row>
    <row r="74" spans="2:3" x14ac:dyDescent="0.2">
      <c r="B74" s="1"/>
      <c r="C74" s="5"/>
    </row>
    <row r="75" spans="2:3" x14ac:dyDescent="0.2">
      <c r="B75" s="1"/>
      <c r="C75" s="5"/>
    </row>
    <row r="76" spans="2:3" x14ac:dyDescent="0.2">
      <c r="B76" s="1"/>
    </row>
    <row r="77" spans="2:3" x14ac:dyDescent="0.2">
      <c r="B77" s="1"/>
      <c r="C77" s="1"/>
    </row>
    <row r="78" spans="2:3" x14ac:dyDescent="0.2">
      <c r="B78" s="1"/>
      <c r="C78" s="1"/>
    </row>
  </sheetData>
  <mergeCells count="8">
    <mergeCell ref="AJ2:AP2"/>
    <mergeCell ref="AQ2:AW2"/>
    <mergeCell ref="C2:E2"/>
    <mergeCell ref="F2:G2"/>
    <mergeCell ref="H2:N2"/>
    <mergeCell ref="O2:U2"/>
    <mergeCell ref="V2:AB2"/>
    <mergeCell ref="AC2:A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D01C-8103-B144-AAC9-B17FCEDE5A0C}">
  <dimension ref="B2:P49"/>
  <sheetViews>
    <sheetView topLeftCell="A12" workbookViewId="0">
      <selection activeCell="B2" sqref="B2:P49"/>
    </sheetView>
  </sheetViews>
  <sheetFormatPr baseColWidth="10" defaultRowHeight="16" x14ac:dyDescent="0.2"/>
  <cols>
    <col min="1" max="1" width="3.33203125" customWidth="1"/>
  </cols>
  <sheetData>
    <row r="2" spans="2:16" x14ac:dyDescent="0.2">
      <c r="B2" t="s">
        <v>39</v>
      </c>
      <c r="C2" t="s">
        <v>37</v>
      </c>
      <c r="D2" s="1" t="s">
        <v>25</v>
      </c>
      <c r="E2" s="1" t="s">
        <v>26</v>
      </c>
      <c r="F2" s="1" t="s">
        <v>27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</row>
    <row r="3" spans="2:16" x14ac:dyDescent="0.2">
      <c r="B3" s="1" t="s">
        <v>0</v>
      </c>
      <c r="C3" s="1" t="s">
        <v>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0.99399999999999999</v>
      </c>
      <c r="N3">
        <v>0</v>
      </c>
      <c r="O3">
        <v>0</v>
      </c>
      <c r="P3">
        <v>0</v>
      </c>
    </row>
    <row r="4" spans="2:16" x14ac:dyDescent="0.2">
      <c r="B4" s="1" t="s">
        <v>0</v>
      </c>
      <c r="C4" s="1" t="s">
        <v>10</v>
      </c>
      <c r="D4">
        <v>9.9000000000000008E-3</v>
      </c>
      <c r="E4">
        <v>1.8E-3</v>
      </c>
      <c r="F4">
        <v>2.12E-2</v>
      </c>
      <c r="G4">
        <v>5.28E-2</v>
      </c>
      <c r="H4">
        <v>8.8000000000000003E-4</v>
      </c>
      <c r="I4">
        <v>1.95E-2</v>
      </c>
      <c r="J4">
        <v>2.2000000000000001E-4</v>
      </c>
      <c r="K4">
        <v>8.4099999999999994E-2</v>
      </c>
      <c r="L4">
        <v>6.6E-4</v>
      </c>
      <c r="M4">
        <v>9.06E-2</v>
      </c>
      <c r="N4">
        <v>0.21</v>
      </c>
      <c r="O4">
        <v>7.2300000000000003E-2</v>
      </c>
      <c r="P4">
        <v>0.157</v>
      </c>
    </row>
    <row r="5" spans="2:16" x14ac:dyDescent="0.2">
      <c r="B5" s="1" t="s">
        <v>0</v>
      </c>
      <c r="C5" s="1" t="s">
        <v>11</v>
      </c>
      <c r="D5">
        <v>2.3999999999999998E-3</v>
      </c>
      <c r="E5">
        <v>0</v>
      </c>
      <c r="F5">
        <v>0</v>
      </c>
      <c r="G5">
        <v>0</v>
      </c>
      <c r="H5">
        <v>0</v>
      </c>
      <c r="I5">
        <v>9.98E-5</v>
      </c>
      <c r="J5">
        <v>0</v>
      </c>
      <c r="K5">
        <v>2.5000000000000001E-4</v>
      </c>
      <c r="L5">
        <v>4.7000000000000002E-3</v>
      </c>
      <c r="M5">
        <v>0.66500000000000004</v>
      </c>
      <c r="N5">
        <v>0.30299999999999999</v>
      </c>
      <c r="O5">
        <v>5.5000000000000003E-4</v>
      </c>
      <c r="P5">
        <v>1.6000000000000001E-3</v>
      </c>
    </row>
    <row r="6" spans="2:16" x14ac:dyDescent="0.2">
      <c r="B6" s="1" t="s">
        <v>1</v>
      </c>
      <c r="C6" s="1" t="s">
        <v>12</v>
      </c>
      <c r="D6">
        <v>2E-3</v>
      </c>
      <c r="E6">
        <v>1.1999999999999999E-3</v>
      </c>
      <c r="F6">
        <v>1.6E-2</v>
      </c>
      <c r="G6">
        <v>3.2800000000000003E-2</v>
      </c>
      <c r="H6">
        <v>4.0000000000000002E-4</v>
      </c>
      <c r="I6">
        <v>8.0000000000000004E-4</v>
      </c>
      <c r="J6">
        <v>2.8E-3</v>
      </c>
      <c r="K6">
        <v>6.9199999999999998E-2</v>
      </c>
      <c r="L6">
        <v>0</v>
      </c>
      <c r="M6">
        <v>5.1200000000000002E-2</v>
      </c>
      <c r="N6">
        <v>0.61499999999999999</v>
      </c>
      <c r="O6">
        <v>1.1999999999999999E-3</v>
      </c>
      <c r="P6">
        <v>0.01</v>
      </c>
    </row>
    <row r="7" spans="2:16" x14ac:dyDescent="0.2">
      <c r="B7" s="1" t="s">
        <v>1</v>
      </c>
      <c r="C7" s="1" t="s">
        <v>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0.997</v>
      </c>
      <c r="N7">
        <v>0</v>
      </c>
      <c r="O7">
        <v>0</v>
      </c>
      <c r="P7">
        <v>0</v>
      </c>
    </row>
    <row r="8" spans="2:16" x14ac:dyDescent="0.2">
      <c r="B8" s="1" t="s">
        <v>2</v>
      </c>
      <c r="C8" s="1" t="s">
        <v>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0.996</v>
      </c>
      <c r="N8">
        <v>4.3E-3</v>
      </c>
      <c r="O8">
        <v>0</v>
      </c>
      <c r="P8">
        <v>0</v>
      </c>
    </row>
    <row r="9" spans="2:16" x14ac:dyDescent="0.2">
      <c r="B9" s="1" t="s">
        <v>2</v>
      </c>
      <c r="C9" s="7" t="s">
        <v>13</v>
      </c>
      <c r="D9">
        <v>5.7000000000000002E-3</v>
      </c>
      <c r="E9">
        <v>0.11</v>
      </c>
      <c r="F9">
        <v>0</v>
      </c>
      <c r="G9">
        <v>3.5499999999999997E-2</v>
      </c>
      <c r="H9">
        <v>4.5999999999999999E-3</v>
      </c>
      <c r="I9">
        <v>1.1000000000000001E-3</v>
      </c>
      <c r="J9">
        <v>0</v>
      </c>
      <c r="K9">
        <v>7.3200000000000001E-2</v>
      </c>
      <c r="L9">
        <v>0</v>
      </c>
      <c r="M9">
        <v>3.78E-2</v>
      </c>
      <c r="N9">
        <v>7.0900000000000005E-2</v>
      </c>
      <c r="O9">
        <v>3.3999999999999998E-3</v>
      </c>
      <c r="P9">
        <v>1.1000000000000001E-3</v>
      </c>
    </row>
    <row r="10" spans="2:16" x14ac:dyDescent="0.2">
      <c r="B10" s="1" t="s">
        <v>2</v>
      </c>
      <c r="C10" s="8" t="s">
        <v>17</v>
      </c>
      <c r="D10">
        <v>6.6E-3</v>
      </c>
      <c r="E10">
        <v>9.9599999999999994E-2</v>
      </c>
      <c r="F10">
        <v>0</v>
      </c>
      <c r="G10">
        <v>4.6199999999999998E-2</v>
      </c>
      <c r="H10">
        <v>4.1000000000000003E-3</v>
      </c>
      <c r="I10">
        <v>1E-3</v>
      </c>
      <c r="J10">
        <v>0</v>
      </c>
      <c r="K10">
        <v>8.1799999999999998E-2</v>
      </c>
      <c r="L10">
        <v>0</v>
      </c>
      <c r="M10">
        <v>4.9299999999999997E-2</v>
      </c>
      <c r="N10">
        <v>8.3799999999999999E-2</v>
      </c>
      <c r="O10">
        <v>2E-3</v>
      </c>
      <c r="P10">
        <v>5.5999999999999999E-3</v>
      </c>
    </row>
    <row r="11" spans="2:16" x14ac:dyDescent="0.2">
      <c r="B11" s="1" t="s">
        <v>2</v>
      </c>
      <c r="C11" s="9" t="s">
        <v>21</v>
      </c>
      <c r="D11">
        <v>5.7000000000000002E-3</v>
      </c>
      <c r="E11">
        <v>0.11</v>
      </c>
      <c r="F11">
        <v>0</v>
      </c>
      <c r="G11">
        <v>3.5499999999999997E-2</v>
      </c>
      <c r="H11">
        <v>4.5999999999999999E-3</v>
      </c>
      <c r="I11">
        <v>1.1000000000000001E-3</v>
      </c>
      <c r="J11">
        <v>0</v>
      </c>
      <c r="K11">
        <v>7.3200000000000001E-2</v>
      </c>
      <c r="L11">
        <v>0</v>
      </c>
      <c r="M11">
        <v>3.78E-2</v>
      </c>
      <c r="N11">
        <v>7.0900000000000005E-2</v>
      </c>
      <c r="O11">
        <v>3.3999999999999998E-3</v>
      </c>
      <c r="P11">
        <v>1.1000000000000001E-3</v>
      </c>
    </row>
    <row r="12" spans="2:16" x14ac:dyDescent="0.2">
      <c r="B12" s="1" t="s">
        <v>2</v>
      </c>
      <c r="C12" s="10" t="s">
        <v>15</v>
      </c>
      <c r="D12">
        <v>2.3999999999999998E-3</v>
      </c>
      <c r="E12">
        <v>3.8699999999999998E-2</v>
      </c>
      <c r="F12">
        <v>0</v>
      </c>
      <c r="G12">
        <v>3.5499999999999997E-2</v>
      </c>
      <c r="H12">
        <v>7.9000000000000001E-4</v>
      </c>
      <c r="I12">
        <v>7.9000000000000001E-4</v>
      </c>
      <c r="J12">
        <v>0</v>
      </c>
      <c r="K12">
        <v>9.4E-2</v>
      </c>
      <c r="L12">
        <v>0</v>
      </c>
      <c r="M12">
        <v>5.21E-2</v>
      </c>
      <c r="N12">
        <v>7.1099999999999997E-2</v>
      </c>
      <c r="O12">
        <v>7.9000000000000001E-4</v>
      </c>
      <c r="P12">
        <v>3.2000000000000002E-3</v>
      </c>
    </row>
    <row r="13" spans="2:16" x14ac:dyDescent="0.2">
      <c r="B13" s="1" t="s">
        <v>2</v>
      </c>
      <c r="C13" s="11" t="s">
        <v>19</v>
      </c>
      <c r="D13">
        <v>2.3999999999999998E-3</v>
      </c>
      <c r="E13">
        <v>3.8699999999999998E-2</v>
      </c>
      <c r="F13">
        <v>0</v>
      </c>
      <c r="G13">
        <v>3.5499999999999997E-2</v>
      </c>
      <c r="H13">
        <v>7.9000000000000001E-4</v>
      </c>
      <c r="I13">
        <v>7.9000000000000001E-4</v>
      </c>
      <c r="J13">
        <v>0</v>
      </c>
      <c r="K13">
        <v>9.4E-2</v>
      </c>
      <c r="L13">
        <v>0</v>
      </c>
      <c r="M13">
        <v>5.21E-2</v>
      </c>
      <c r="N13">
        <v>7.1099999999999997E-2</v>
      </c>
      <c r="O13">
        <v>7.9000000000000001E-4</v>
      </c>
      <c r="P13">
        <v>3.2000000000000002E-3</v>
      </c>
    </row>
    <row r="14" spans="2:16" x14ac:dyDescent="0.2">
      <c r="B14" s="1" t="s">
        <v>2</v>
      </c>
      <c r="C14" s="12" t="s">
        <v>20</v>
      </c>
      <c r="D14">
        <v>5.0000000000000001E-3</v>
      </c>
      <c r="E14">
        <v>3.5200000000000002E-2</v>
      </c>
      <c r="F14">
        <v>0</v>
      </c>
      <c r="G14">
        <v>4.6600000000000003E-2</v>
      </c>
      <c r="H14">
        <v>0</v>
      </c>
      <c r="I14">
        <v>1.2999999999999999E-3</v>
      </c>
      <c r="J14">
        <v>0</v>
      </c>
      <c r="K14">
        <v>0.13700000000000001</v>
      </c>
      <c r="L14">
        <v>0</v>
      </c>
      <c r="M14">
        <v>4.9099999999999998E-2</v>
      </c>
      <c r="N14">
        <v>9.5699999999999993E-2</v>
      </c>
      <c r="O14">
        <v>6.3000000000000003E-4</v>
      </c>
      <c r="P14">
        <v>3.8E-3</v>
      </c>
    </row>
    <row r="15" spans="2:16" x14ac:dyDescent="0.2">
      <c r="B15" s="1" t="s">
        <v>3</v>
      </c>
      <c r="C15" s="1" t="s">
        <v>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0.997</v>
      </c>
      <c r="N15">
        <v>0</v>
      </c>
      <c r="O15">
        <v>0</v>
      </c>
      <c r="P15">
        <v>0</v>
      </c>
    </row>
    <row r="16" spans="2:16" x14ac:dyDescent="0.2">
      <c r="B16" s="1" t="s">
        <v>3</v>
      </c>
      <c r="C16" s="7" t="s">
        <v>13</v>
      </c>
      <c r="D16">
        <v>0</v>
      </c>
      <c r="E16">
        <v>8.0600000000000005E-2</v>
      </c>
      <c r="F16">
        <v>2.1100000000000001E-2</v>
      </c>
      <c r="G16">
        <v>0.26100000000000001</v>
      </c>
      <c r="H16">
        <v>4.3E-3</v>
      </c>
      <c r="I16">
        <v>9.3000000000000005E-4</v>
      </c>
      <c r="J16">
        <v>3.1E-4</v>
      </c>
      <c r="K16">
        <v>3.9399999999999998E-2</v>
      </c>
      <c r="L16">
        <v>0</v>
      </c>
      <c r="M16">
        <v>0.15</v>
      </c>
      <c r="N16">
        <v>0.21199999999999999</v>
      </c>
      <c r="O16">
        <v>6.2E-4</v>
      </c>
      <c r="P16">
        <v>6.4999999999999997E-3</v>
      </c>
    </row>
    <row r="17" spans="2:16" x14ac:dyDescent="0.2">
      <c r="B17" s="1" t="s">
        <v>3</v>
      </c>
      <c r="C17" s="8" t="s">
        <v>17</v>
      </c>
      <c r="D17">
        <v>0</v>
      </c>
      <c r="E17">
        <v>0.222</v>
      </c>
      <c r="F17">
        <v>2.8400000000000002E-2</v>
      </c>
      <c r="G17">
        <v>0.21299999999999999</v>
      </c>
      <c r="H17">
        <v>4.3499999999999997E-2</v>
      </c>
      <c r="I17">
        <v>0</v>
      </c>
      <c r="J17">
        <v>9.5E-4</v>
      </c>
      <c r="K17">
        <v>4.6399999999999997E-2</v>
      </c>
      <c r="L17">
        <v>0</v>
      </c>
      <c r="M17">
        <v>8.5099999999999995E-2</v>
      </c>
      <c r="N17">
        <v>0.186</v>
      </c>
      <c r="O17">
        <v>1.9E-3</v>
      </c>
      <c r="P17">
        <v>6.6E-3</v>
      </c>
    </row>
    <row r="18" spans="2:16" x14ac:dyDescent="0.2">
      <c r="B18" s="1" t="s">
        <v>3</v>
      </c>
      <c r="C18" s="9" t="s">
        <v>21</v>
      </c>
      <c r="D18">
        <v>0</v>
      </c>
      <c r="E18">
        <v>0.127</v>
      </c>
      <c r="F18">
        <v>2.18E-2</v>
      </c>
      <c r="G18">
        <v>0.214</v>
      </c>
      <c r="H18">
        <v>7.3000000000000001E-3</v>
      </c>
      <c r="I18">
        <v>0</v>
      </c>
      <c r="J18">
        <v>3.6000000000000002E-4</v>
      </c>
      <c r="K18">
        <v>6.1199999999999997E-2</v>
      </c>
      <c r="L18">
        <v>0</v>
      </c>
      <c r="M18">
        <v>0.16800000000000001</v>
      </c>
      <c r="N18">
        <v>0.245</v>
      </c>
      <c r="O18">
        <v>1.5E-3</v>
      </c>
      <c r="P18">
        <v>1.0200000000000001E-2</v>
      </c>
    </row>
    <row r="19" spans="2:16" x14ac:dyDescent="0.2">
      <c r="B19" s="1" t="s">
        <v>3</v>
      </c>
      <c r="C19" s="10" t="s">
        <v>15</v>
      </c>
      <c r="D19">
        <v>0</v>
      </c>
      <c r="E19">
        <v>2.35E-2</v>
      </c>
      <c r="F19">
        <v>1.1299999999999999E-2</v>
      </c>
      <c r="G19">
        <v>0.14799999999999999</v>
      </c>
      <c r="H19">
        <v>4.4999999999999999E-4</v>
      </c>
      <c r="I19">
        <v>0</v>
      </c>
      <c r="J19">
        <v>0</v>
      </c>
      <c r="K19">
        <v>9.0899999999999995E-2</v>
      </c>
      <c r="L19">
        <v>0</v>
      </c>
      <c r="M19">
        <v>0.19800000000000001</v>
      </c>
      <c r="N19">
        <v>0.27100000000000002</v>
      </c>
      <c r="O19">
        <v>8.9999999999999998E-4</v>
      </c>
      <c r="P19">
        <v>3.5999999999999999E-3</v>
      </c>
    </row>
    <row r="20" spans="2:16" x14ac:dyDescent="0.2">
      <c r="B20" s="1" t="s">
        <v>3</v>
      </c>
      <c r="C20" s="11" t="s">
        <v>19</v>
      </c>
      <c r="D20">
        <v>0</v>
      </c>
      <c r="E20">
        <v>0.113</v>
      </c>
      <c r="F20">
        <v>3.0499999999999999E-2</v>
      </c>
      <c r="G20">
        <v>0.20200000000000001</v>
      </c>
      <c r="H20">
        <v>3.1800000000000002E-2</v>
      </c>
      <c r="I20">
        <v>0</v>
      </c>
      <c r="J20">
        <v>0</v>
      </c>
      <c r="K20">
        <v>5.9700000000000003E-2</v>
      </c>
      <c r="L20">
        <v>0</v>
      </c>
      <c r="M20">
        <v>0.123</v>
      </c>
      <c r="N20">
        <v>0.24399999999999999</v>
      </c>
      <c r="O20">
        <v>0</v>
      </c>
      <c r="P20">
        <v>5.3E-3</v>
      </c>
    </row>
    <row r="21" spans="2:16" x14ac:dyDescent="0.2">
      <c r="B21" s="1" t="s">
        <v>3</v>
      </c>
      <c r="C21" s="12" t="s">
        <v>20</v>
      </c>
      <c r="D21">
        <v>0</v>
      </c>
      <c r="E21">
        <v>1.6299999999999999E-2</v>
      </c>
      <c r="F21">
        <v>1.6299999999999999E-2</v>
      </c>
      <c r="G21">
        <v>0.16600000000000001</v>
      </c>
      <c r="H21">
        <v>8.5999999999999998E-4</v>
      </c>
      <c r="I21">
        <v>0</v>
      </c>
      <c r="J21">
        <v>1.6999999999999999E-3</v>
      </c>
      <c r="K21">
        <v>6.7500000000000004E-2</v>
      </c>
      <c r="L21">
        <v>4.2999999999999999E-4</v>
      </c>
      <c r="M21">
        <v>0.19700000000000001</v>
      </c>
      <c r="N21">
        <v>0.32700000000000001</v>
      </c>
      <c r="O21">
        <v>1.2999999999999999E-3</v>
      </c>
      <c r="P21">
        <v>4.3E-3</v>
      </c>
    </row>
    <row r="22" spans="2:16" x14ac:dyDescent="0.2">
      <c r="B22" s="1" t="s">
        <v>4</v>
      </c>
      <c r="C22" s="1" t="s">
        <v>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0.99199999999999999</v>
      </c>
      <c r="N22">
        <v>1.1999999999999999E-3</v>
      </c>
      <c r="O22">
        <v>0</v>
      </c>
      <c r="P22">
        <v>0</v>
      </c>
    </row>
    <row r="23" spans="2:16" x14ac:dyDescent="0.2">
      <c r="B23" s="1" t="s">
        <v>4</v>
      </c>
      <c r="C23" s="7" t="s">
        <v>13</v>
      </c>
      <c r="D23">
        <v>0</v>
      </c>
      <c r="E23">
        <v>1.5E-3</v>
      </c>
      <c r="F23">
        <v>6.4999999999999997E-3</v>
      </c>
      <c r="G23">
        <v>9.4100000000000003E-2</v>
      </c>
      <c r="H23">
        <v>0</v>
      </c>
      <c r="I23">
        <v>0</v>
      </c>
      <c r="J23">
        <v>1.1999999999999999E-3</v>
      </c>
      <c r="K23">
        <v>0.111</v>
      </c>
      <c r="L23">
        <v>0</v>
      </c>
      <c r="M23">
        <v>0.28499999999999998</v>
      </c>
      <c r="N23">
        <v>0.32</v>
      </c>
      <c r="O23">
        <v>2.3E-3</v>
      </c>
      <c r="P23">
        <v>3.15E-2</v>
      </c>
    </row>
    <row r="24" spans="2:16" x14ac:dyDescent="0.2">
      <c r="B24" s="1" t="s">
        <v>4</v>
      </c>
      <c r="C24" s="8" t="s">
        <v>17</v>
      </c>
      <c r="D24">
        <v>0</v>
      </c>
      <c r="E24">
        <v>0</v>
      </c>
      <c r="F24">
        <v>0.01</v>
      </c>
      <c r="G24">
        <v>0.13100000000000001</v>
      </c>
      <c r="H24">
        <v>0</v>
      </c>
      <c r="I24">
        <v>0</v>
      </c>
      <c r="J24">
        <v>3.8E-3</v>
      </c>
      <c r="K24">
        <v>0.129</v>
      </c>
      <c r="L24">
        <v>0</v>
      </c>
      <c r="M24">
        <v>0.128</v>
      </c>
      <c r="N24">
        <v>0.40100000000000002</v>
      </c>
      <c r="O24">
        <v>5.0000000000000001E-3</v>
      </c>
      <c r="P24">
        <v>2.12E-2</v>
      </c>
    </row>
    <row r="25" spans="2:16" x14ac:dyDescent="0.2">
      <c r="B25" s="1" t="s">
        <v>4</v>
      </c>
      <c r="C25" s="9" t="s">
        <v>21</v>
      </c>
      <c r="D25">
        <v>0</v>
      </c>
      <c r="E25">
        <v>3.4000000000000002E-4</v>
      </c>
      <c r="F25">
        <v>7.7999999999999996E-3</v>
      </c>
      <c r="G25">
        <v>8.8200000000000001E-2</v>
      </c>
      <c r="H25">
        <v>0</v>
      </c>
      <c r="I25">
        <v>3.4000000000000002E-4</v>
      </c>
      <c r="J25">
        <v>1E-3</v>
      </c>
      <c r="K25">
        <v>0.129</v>
      </c>
      <c r="L25">
        <v>0</v>
      </c>
      <c r="M25">
        <v>0.27600000000000002</v>
      </c>
      <c r="N25">
        <v>0.35399999999999998</v>
      </c>
      <c r="O25">
        <v>1.6999999999999999E-3</v>
      </c>
      <c r="P25">
        <v>4.24E-2</v>
      </c>
    </row>
    <row r="26" spans="2:16" x14ac:dyDescent="0.2">
      <c r="B26" s="1" t="s">
        <v>4</v>
      </c>
      <c r="C26" s="10" t="s">
        <v>15</v>
      </c>
      <c r="D26">
        <v>0</v>
      </c>
      <c r="E26">
        <v>0</v>
      </c>
      <c r="F26">
        <v>6.4000000000000003E-3</v>
      </c>
      <c r="G26">
        <v>4.2999999999999997E-2</v>
      </c>
      <c r="H26">
        <v>0</v>
      </c>
      <c r="I26">
        <v>0</v>
      </c>
      <c r="J26">
        <v>3.8E-3</v>
      </c>
      <c r="K26">
        <v>0.16400000000000001</v>
      </c>
      <c r="L26">
        <v>0</v>
      </c>
      <c r="M26">
        <v>0.30099999999999999</v>
      </c>
      <c r="N26">
        <v>0.32700000000000001</v>
      </c>
      <c r="O26">
        <v>4.4999999999999997E-3</v>
      </c>
      <c r="P26">
        <v>1.3599999999999999E-2</v>
      </c>
    </row>
    <row r="27" spans="2:16" x14ac:dyDescent="0.2">
      <c r="B27" s="1" t="s">
        <v>4</v>
      </c>
      <c r="C27" s="11" t="s">
        <v>19</v>
      </c>
      <c r="D27">
        <v>0</v>
      </c>
      <c r="E27">
        <v>0</v>
      </c>
      <c r="F27">
        <v>8.2000000000000007E-3</v>
      </c>
      <c r="G27">
        <v>0.17</v>
      </c>
      <c r="H27">
        <v>0</v>
      </c>
      <c r="I27">
        <v>0</v>
      </c>
      <c r="J27">
        <v>8.2000000000000007E-3</v>
      </c>
      <c r="K27">
        <v>0.16</v>
      </c>
      <c r="L27">
        <v>0</v>
      </c>
      <c r="M27">
        <v>0.18099999999999999</v>
      </c>
      <c r="N27">
        <v>0.28100000000000003</v>
      </c>
      <c r="O27">
        <v>3.5000000000000001E-3</v>
      </c>
      <c r="P27">
        <v>2.58E-2</v>
      </c>
    </row>
    <row r="28" spans="2:16" x14ac:dyDescent="0.2">
      <c r="B28" s="1" t="s">
        <v>4</v>
      </c>
      <c r="C28" s="12" t="s">
        <v>20</v>
      </c>
      <c r="D28">
        <v>0</v>
      </c>
      <c r="E28">
        <v>0</v>
      </c>
      <c r="F28">
        <v>4.4999999999999997E-3</v>
      </c>
      <c r="G28">
        <v>5.5399999999999998E-2</v>
      </c>
      <c r="H28">
        <v>0</v>
      </c>
      <c r="I28">
        <v>3.2000000000000003E-4</v>
      </c>
      <c r="J28">
        <v>2.5999999999999999E-3</v>
      </c>
      <c r="K28">
        <v>0.14799999999999999</v>
      </c>
      <c r="L28">
        <v>0</v>
      </c>
      <c r="M28">
        <v>0.316</v>
      </c>
      <c r="N28">
        <v>0.35399999999999998</v>
      </c>
      <c r="O28">
        <v>2.3E-3</v>
      </c>
      <c r="P28">
        <v>1.8700000000000001E-2</v>
      </c>
    </row>
    <row r="29" spans="2:16" x14ac:dyDescent="0.2">
      <c r="B29" s="1" t="s">
        <v>5</v>
      </c>
      <c r="C29" s="1" t="s">
        <v>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0.98299999999999998</v>
      </c>
      <c r="N29">
        <v>0</v>
      </c>
      <c r="O29">
        <v>0</v>
      </c>
      <c r="P29">
        <v>0</v>
      </c>
    </row>
    <row r="30" spans="2:16" x14ac:dyDescent="0.2">
      <c r="B30" s="1" t="s">
        <v>5</v>
      </c>
      <c r="C30" s="7" t="s">
        <v>13</v>
      </c>
      <c r="D30">
        <v>0</v>
      </c>
      <c r="E30">
        <v>8.8000000000000005E-3</v>
      </c>
      <c r="F30">
        <v>8.3999999999999995E-3</v>
      </c>
      <c r="G30">
        <v>2.3699999999999999E-2</v>
      </c>
      <c r="H30">
        <v>2E-3</v>
      </c>
      <c r="I30">
        <v>3.5E-4</v>
      </c>
      <c r="J30">
        <v>1.4E-3</v>
      </c>
      <c r="K30">
        <v>0.16300000000000001</v>
      </c>
      <c r="L30">
        <v>1.2E-4</v>
      </c>
      <c r="M30">
        <v>0.432</v>
      </c>
      <c r="N30">
        <v>0.153</v>
      </c>
      <c r="O30">
        <v>1.2E-4</v>
      </c>
      <c r="P30">
        <v>0.112</v>
      </c>
    </row>
    <row r="31" spans="2:16" x14ac:dyDescent="0.2">
      <c r="B31" s="1" t="s">
        <v>5</v>
      </c>
      <c r="C31" s="8" t="s">
        <v>17</v>
      </c>
      <c r="D31">
        <v>0</v>
      </c>
      <c r="E31">
        <v>1.2699999999999999E-2</v>
      </c>
      <c r="F31">
        <v>8.2000000000000007E-3</v>
      </c>
      <c r="G31">
        <v>4.1000000000000002E-2</v>
      </c>
      <c r="H31">
        <v>2.3E-3</v>
      </c>
      <c r="I31">
        <v>4.6000000000000001E-4</v>
      </c>
      <c r="J31">
        <v>4.6000000000000001E-4</v>
      </c>
      <c r="K31">
        <v>0.17100000000000001</v>
      </c>
      <c r="L31">
        <v>0</v>
      </c>
      <c r="M31">
        <v>0.33200000000000002</v>
      </c>
      <c r="N31">
        <v>0.18099999999999999</v>
      </c>
      <c r="O31">
        <v>0</v>
      </c>
      <c r="P31">
        <v>0.14399999999999999</v>
      </c>
    </row>
    <row r="32" spans="2:16" x14ac:dyDescent="0.2">
      <c r="B32" s="1" t="s">
        <v>5</v>
      </c>
      <c r="C32" s="9" t="s">
        <v>21</v>
      </c>
      <c r="D32">
        <v>0</v>
      </c>
      <c r="E32">
        <v>7.0000000000000001E-3</v>
      </c>
      <c r="F32">
        <v>7.9000000000000008E-3</v>
      </c>
      <c r="G32">
        <v>2.6700000000000002E-2</v>
      </c>
      <c r="H32">
        <v>1.1999999999999999E-3</v>
      </c>
      <c r="I32">
        <v>2.2000000000000001E-4</v>
      </c>
      <c r="J32">
        <v>2.5999999999999999E-3</v>
      </c>
      <c r="K32">
        <v>0.17699999999999999</v>
      </c>
      <c r="L32">
        <v>0</v>
      </c>
      <c r="M32">
        <v>0.35699999999999998</v>
      </c>
      <c r="N32">
        <v>0.18099999999999999</v>
      </c>
      <c r="O32">
        <v>0</v>
      </c>
      <c r="P32">
        <v>0.16800000000000001</v>
      </c>
    </row>
    <row r="33" spans="2:16" x14ac:dyDescent="0.2">
      <c r="B33" s="1" t="s">
        <v>5</v>
      </c>
      <c r="C33" s="10" t="s">
        <v>15</v>
      </c>
      <c r="D33">
        <v>0</v>
      </c>
      <c r="E33">
        <v>4.8000000000000001E-4</v>
      </c>
      <c r="F33">
        <v>3.7000000000000002E-3</v>
      </c>
      <c r="G33">
        <v>1.3599999999999999E-2</v>
      </c>
      <c r="H33">
        <v>9.5199999999999997E-5</v>
      </c>
      <c r="I33">
        <v>2.9E-4</v>
      </c>
      <c r="J33">
        <v>6.7000000000000002E-4</v>
      </c>
      <c r="K33">
        <v>0.151</v>
      </c>
      <c r="L33">
        <v>0</v>
      </c>
      <c r="M33">
        <v>0.505</v>
      </c>
      <c r="N33">
        <v>0.14499999999999999</v>
      </c>
      <c r="O33">
        <v>9.5199999999999997E-5</v>
      </c>
      <c r="P33">
        <v>6.88E-2</v>
      </c>
    </row>
    <row r="34" spans="2:16" x14ac:dyDescent="0.2">
      <c r="B34" s="1" t="s">
        <v>5</v>
      </c>
      <c r="C34" s="11" t="s">
        <v>19</v>
      </c>
      <c r="D34">
        <v>0</v>
      </c>
      <c r="E34">
        <v>9.1000000000000004E-3</v>
      </c>
      <c r="F34">
        <v>3.0000000000000001E-3</v>
      </c>
      <c r="G34">
        <v>2.8500000000000001E-2</v>
      </c>
      <c r="H34">
        <v>1.1000000000000001E-3</v>
      </c>
      <c r="I34">
        <v>7.6000000000000004E-4</v>
      </c>
      <c r="J34">
        <v>1.1000000000000001E-3</v>
      </c>
      <c r="K34">
        <v>0.13600000000000001</v>
      </c>
      <c r="L34">
        <v>0</v>
      </c>
      <c r="M34">
        <v>0.35299999999999998</v>
      </c>
      <c r="N34">
        <v>0.18</v>
      </c>
      <c r="O34">
        <v>3.8000000000000002E-4</v>
      </c>
      <c r="P34">
        <v>0.158</v>
      </c>
    </row>
    <row r="35" spans="2:16" x14ac:dyDescent="0.2">
      <c r="B35" s="1" t="s">
        <v>5</v>
      </c>
      <c r="C35" s="12" t="s">
        <v>20</v>
      </c>
      <c r="D35">
        <v>0</v>
      </c>
      <c r="E35">
        <v>1.6999999999999999E-3</v>
      </c>
      <c r="F35">
        <v>2.5000000000000001E-3</v>
      </c>
      <c r="G35">
        <v>1.6799999999999999E-2</v>
      </c>
      <c r="H35">
        <v>1.6000000000000001E-4</v>
      </c>
      <c r="I35">
        <v>7.7899999999999996E-5</v>
      </c>
      <c r="J35">
        <v>1.8E-3</v>
      </c>
      <c r="K35">
        <v>0.154</v>
      </c>
      <c r="L35">
        <v>0</v>
      </c>
      <c r="M35">
        <v>0.40100000000000002</v>
      </c>
      <c r="N35">
        <v>0.16800000000000001</v>
      </c>
      <c r="O35">
        <v>0</v>
      </c>
      <c r="P35">
        <v>0.16200000000000001</v>
      </c>
    </row>
    <row r="36" spans="2:16" x14ac:dyDescent="0.2">
      <c r="B36" s="1" t="s">
        <v>6</v>
      </c>
      <c r="C36" s="1" t="s">
        <v>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0.98599999999999999</v>
      </c>
      <c r="N36">
        <v>0</v>
      </c>
      <c r="O36">
        <v>1.4E-3</v>
      </c>
      <c r="P36">
        <v>0</v>
      </c>
    </row>
    <row r="37" spans="2:16" x14ac:dyDescent="0.2">
      <c r="B37" s="1" t="s">
        <v>6</v>
      </c>
      <c r="C37" s="7" t="s">
        <v>13</v>
      </c>
      <c r="D37">
        <v>0</v>
      </c>
      <c r="E37">
        <v>4.1999999999999997E-3</v>
      </c>
      <c r="F37">
        <v>5.1999999999999998E-3</v>
      </c>
      <c r="G37">
        <v>4.9299999999999997E-2</v>
      </c>
      <c r="H37">
        <v>9.7200000000000004E-5</v>
      </c>
      <c r="I37">
        <v>1.1999999999999999E-3</v>
      </c>
      <c r="J37">
        <v>3.8999999999999998E-3</v>
      </c>
      <c r="K37">
        <v>0.109</v>
      </c>
      <c r="L37">
        <v>0</v>
      </c>
      <c r="M37">
        <v>0.33600000000000002</v>
      </c>
      <c r="N37">
        <v>4.82E-2</v>
      </c>
      <c r="O37">
        <v>2.8E-3</v>
      </c>
      <c r="P37">
        <v>0.34200000000000003</v>
      </c>
    </row>
    <row r="38" spans="2:16" x14ac:dyDescent="0.2">
      <c r="B38" s="1" t="s">
        <v>6</v>
      </c>
      <c r="C38" s="8" t="s">
        <v>17</v>
      </c>
      <c r="D38">
        <v>0</v>
      </c>
      <c r="E38">
        <v>8.8000000000000005E-3</v>
      </c>
      <c r="F38">
        <v>2.0400000000000001E-2</v>
      </c>
      <c r="G38">
        <v>0.10100000000000001</v>
      </c>
      <c r="H38">
        <v>0</v>
      </c>
      <c r="I38">
        <v>1.2999999999999999E-3</v>
      </c>
      <c r="J38">
        <v>5.7000000000000002E-3</v>
      </c>
      <c r="K38">
        <v>9.1700000000000004E-2</v>
      </c>
      <c r="L38">
        <v>0</v>
      </c>
      <c r="M38">
        <v>0.20499999999999999</v>
      </c>
      <c r="N38">
        <v>7.3800000000000004E-2</v>
      </c>
      <c r="O38">
        <v>1.1599999999999999E-2</v>
      </c>
      <c r="P38">
        <v>0.32</v>
      </c>
    </row>
    <row r="39" spans="2:16" x14ac:dyDescent="0.2">
      <c r="B39" s="1" t="s">
        <v>6</v>
      </c>
      <c r="C39" s="9" t="s">
        <v>21</v>
      </c>
      <c r="D39">
        <v>0</v>
      </c>
      <c r="E39">
        <v>6.8999999999999999E-3</v>
      </c>
      <c r="F39">
        <v>1.38E-2</v>
      </c>
      <c r="G39">
        <v>6.8400000000000002E-2</v>
      </c>
      <c r="H39">
        <v>0</v>
      </c>
      <c r="I39">
        <v>4.2999999999999999E-4</v>
      </c>
      <c r="J39">
        <v>3.7000000000000002E-3</v>
      </c>
      <c r="K39">
        <v>9.7500000000000003E-2</v>
      </c>
      <c r="L39">
        <v>0</v>
      </c>
      <c r="M39">
        <v>0.20599999999999999</v>
      </c>
      <c r="N39">
        <v>3.9199999999999999E-2</v>
      </c>
      <c r="O39">
        <v>4.7999999999999996E-3</v>
      </c>
      <c r="P39">
        <v>0.45700000000000002</v>
      </c>
    </row>
    <row r="40" spans="2:16" x14ac:dyDescent="0.2">
      <c r="B40" s="1" t="s">
        <v>6</v>
      </c>
      <c r="C40" s="10" t="s">
        <v>15</v>
      </c>
      <c r="D40">
        <v>0</v>
      </c>
      <c r="E40">
        <v>8.6E-3</v>
      </c>
      <c r="F40">
        <v>1.7399999999999999E-2</v>
      </c>
      <c r="G40">
        <v>8.4400000000000003E-2</v>
      </c>
      <c r="H40">
        <v>0</v>
      </c>
      <c r="I40">
        <v>5.9000000000000003E-4</v>
      </c>
      <c r="J40">
        <v>2.3999999999999998E-3</v>
      </c>
      <c r="K40">
        <v>9.01E-2</v>
      </c>
      <c r="L40">
        <v>0</v>
      </c>
      <c r="M40">
        <v>0.23100000000000001</v>
      </c>
      <c r="N40">
        <v>6.7599999999999993E-2</v>
      </c>
      <c r="O40">
        <v>0.01</v>
      </c>
      <c r="P40">
        <v>0.36799999999999999</v>
      </c>
    </row>
    <row r="41" spans="2:16" x14ac:dyDescent="0.2">
      <c r="B41" s="1" t="s">
        <v>6</v>
      </c>
      <c r="C41" s="11" t="s">
        <v>19</v>
      </c>
      <c r="D41">
        <v>0</v>
      </c>
      <c r="E41">
        <v>5.8E-4</v>
      </c>
      <c r="F41">
        <v>3.3999999999999998E-3</v>
      </c>
      <c r="G41">
        <v>4.2500000000000003E-2</v>
      </c>
      <c r="H41">
        <v>0</v>
      </c>
      <c r="I41">
        <v>2E-3</v>
      </c>
      <c r="J41">
        <v>4.8999999999999998E-3</v>
      </c>
      <c r="K41">
        <v>0.13100000000000001</v>
      </c>
      <c r="L41">
        <v>0</v>
      </c>
      <c r="M41">
        <v>0.35199999999999998</v>
      </c>
      <c r="N41">
        <v>4.3099999999999999E-2</v>
      </c>
      <c r="O41">
        <v>4.1999999999999997E-3</v>
      </c>
      <c r="P41">
        <v>0.28499999999999998</v>
      </c>
    </row>
    <row r="42" spans="2:16" x14ac:dyDescent="0.2">
      <c r="B42" s="1" t="s">
        <v>6</v>
      </c>
      <c r="C42" s="12" t="s">
        <v>20</v>
      </c>
      <c r="D42">
        <v>0</v>
      </c>
      <c r="E42">
        <v>3.8999999999999998E-3</v>
      </c>
      <c r="F42">
        <v>1.34E-2</v>
      </c>
      <c r="G42">
        <v>4.9000000000000002E-2</v>
      </c>
      <c r="H42">
        <v>0</v>
      </c>
      <c r="I42">
        <v>1.1000000000000001E-3</v>
      </c>
      <c r="J42">
        <v>3.2000000000000002E-3</v>
      </c>
      <c r="K42">
        <v>0.126</v>
      </c>
      <c r="L42">
        <v>0</v>
      </c>
      <c r="M42">
        <v>0.186</v>
      </c>
      <c r="N42">
        <v>4.3200000000000002E-2</v>
      </c>
      <c r="O42">
        <v>5.4999999999999997E-3</v>
      </c>
      <c r="P42">
        <v>0.47699999999999998</v>
      </c>
    </row>
    <row r="43" spans="2:16" x14ac:dyDescent="0.2">
      <c r="B43" s="1" t="s">
        <v>7</v>
      </c>
      <c r="C43" s="1" t="s">
        <v>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0.995</v>
      </c>
      <c r="N43">
        <v>0</v>
      </c>
      <c r="O43">
        <v>0</v>
      </c>
      <c r="P43">
        <v>0</v>
      </c>
    </row>
    <row r="44" spans="2:16" x14ac:dyDescent="0.2">
      <c r="B44" s="1" t="s">
        <v>7</v>
      </c>
      <c r="C44" s="7" t="s">
        <v>13</v>
      </c>
      <c r="D44">
        <v>0</v>
      </c>
      <c r="E44">
        <v>0</v>
      </c>
      <c r="F44">
        <v>6.0000000000000001E-3</v>
      </c>
      <c r="G44">
        <v>2.2200000000000001E-2</v>
      </c>
      <c r="H44">
        <v>0</v>
      </c>
      <c r="I44">
        <v>3.1E-4</v>
      </c>
      <c r="J44">
        <v>7.6999999999999996E-4</v>
      </c>
      <c r="K44">
        <v>6.5299999999999997E-2</v>
      </c>
      <c r="L44">
        <v>0</v>
      </c>
      <c r="M44">
        <v>0.56999999999999995</v>
      </c>
      <c r="N44">
        <v>1.46E-2</v>
      </c>
      <c r="O44">
        <v>0</v>
      </c>
      <c r="P44">
        <v>0.29399999999999998</v>
      </c>
    </row>
    <row r="45" spans="2:16" x14ac:dyDescent="0.2">
      <c r="B45" s="1" t="s">
        <v>7</v>
      </c>
      <c r="C45" s="8" t="s">
        <v>17</v>
      </c>
      <c r="D45">
        <v>0</v>
      </c>
      <c r="E45">
        <v>0</v>
      </c>
      <c r="F45">
        <v>1.06E-2</v>
      </c>
      <c r="G45">
        <v>4.4400000000000002E-2</v>
      </c>
      <c r="H45">
        <v>0</v>
      </c>
      <c r="I45">
        <v>6.3000000000000003E-4</v>
      </c>
      <c r="J45">
        <v>1.2999999999999999E-3</v>
      </c>
      <c r="K45">
        <v>5.91E-2</v>
      </c>
      <c r="L45">
        <v>0</v>
      </c>
      <c r="M45">
        <v>0.39600000000000002</v>
      </c>
      <c r="N45">
        <v>2.47E-2</v>
      </c>
      <c r="O45">
        <v>3.1E-4</v>
      </c>
      <c r="P45">
        <v>0.39900000000000002</v>
      </c>
    </row>
    <row r="46" spans="2:16" x14ac:dyDescent="0.2">
      <c r="B46" s="1" t="s">
        <v>7</v>
      </c>
      <c r="C46" s="9" t="s">
        <v>21</v>
      </c>
      <c r="D46">
        <v>0</v>
      </c>
      <c r="E46">
        <v>5.1999999999999995E-4</v>
      </c>
      <c r="F46">
        <v>7.6E-3</v>
      </c>
      <c r="G46">
        <v>3.56E-2</v>
      </c>
      <c r="H46">
        <v>0</v>
      </c>
      <c r="I46">
        <v>1.7000000000000001E-4</v>
      </c>
      <c r="J46">
        <v>9.2000000000000003E-4</v>
      </c>
      <c r="K46">
        <v>6.6400000000000001E-2</v>
      </c>
      <c r="L46">
        <v>0</v>
      </c>
      <c r="M46">
        <v>0.433</v>
      </c>
      <c r="N46">
        <v>1.34E-2</v>
      </c>
      <c r="O46">
        <v>5.7800000000000002E-5</v>
      </c>
      <c r="P46">
        <v>0.42499999999999999</v>
      </c>
    </row>
    <row r="47" spans="2:16" x14ac:dyDescent="0.2">
      <c r="B47" s="1" t="s">
        <v>7</v>
      </c>
      <c r="C47" s="10" t="s">
        <v>15</v>
      </c>
      <c r="D47">
        <v>0</v>
      </c>
      <c r="E47">
        <v>0</v>
      </c>
      <c r="F47">
        <v>1.1000000000000001E-3</v>
      </c>
      <c r="G47">
        <v>7.0000000000000001E-3</v>
      </c>
      <c r="H47">
        <v>0</v>
      </c>
      <c r="I47">
        <v>0</v>
      </c>
      <c r="J47">
        <v>5.1000000000000004E-4</v>
      </c>
      <c r="K47">
        <v>5.4100000000000002E-2</v>
      </c>
      <c r="L47">
        <v>0</v>
      </c>
      <c r="M47">
        <v>0.77</v>
      </c>
      <c r="N47">
        <v>1.7899999999999999E-2</v>
      </c>
      <c r="O47">
        <v>0</v>
      </c>
      <c r="P47">
        <v>0.127</v>
      </c>
    </row>
    <row r="48" spans="2:16" x14ac:dyDescent="0.2">
      <c r="B48" s="1" t="s">
        <v>7</v>
      </c>
      <c r="C48" s="11" t="s">
        <v>19</v>
      </c>
      <c r="D48">
        <v>0</v>
      </c>
      <c r="E48">
        <v>0</v>
      </c>
      <c r="F48">
        <v>1.1900000000000001E-2</v>
      </c>
      <c r="G48">
        <v>2.3400000000000001E-2</v>
      </c>
      <c r="H48">
        <v>0</v>
      </c>
      <c r="I48">
        <v>0</v>
      </c>
      <c r="J48">
        <v>9.8999999999999999E-4</v>
      </c>
      <c r="K48">
        <v>8.6999999999999994E-2</v>
      </c>
      <c r="L48">
        <v>0</v>
      </c>
      <c r="M48">
        <v>0.371</v>
      </c>
      <c r="N48">
        <v>2.4899999999999999E-2</v>
      </c>
      <c r="O48">
        <v>2.5000000000000001E-4</v>
      </c>
      <c r="P48">
        <v>0.45100000000000001</v>
      </c>
    </row>
    <row r="49" spans="2:16" x14ac:dyDescent="0.2">
      <c r="B49" s="1" t="s">
        <v>7</v>
      </c>
      <c r="C49" s="12" t="s">
        <v>20</v>
      </c>
      <c r="D49">
        <v>0</v>
      </c>
      <c r="E49">
        <v>1.2E-4</v>
      </c>
      <c r="F49">
        <v>5.7999999999999996E-3</v>
      </c>
      <c r="G49">
        <v>3.0200000000000001E-2</v>
      </c>
      <c r="H49">
        <v>0</v>
      </c>
      <c r="I49">
        <v>5.77E-5</v>
      </c>
      <c r="J49">
        <v>8.7000000000000001E-4</v>
      </c>
      <c r="K49">
        <v>7.7100000000000002E-2</v>
      </c>
      <c r="L49">
        <v>0</v>
      </c>
      <c r="M49">
        <v>0.39500000000000002</v>
      </c>
      <c r="N49">
        <v>1.4500000000000001E-2</v>
      </c>
      <c r="O49">
        <v>2.0999999999999999E-3</v>
      </c>
      <c r="P49">
        <v>0.45800000000000002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28F0-C6F4-9F46-B114-0835E0C8A829}">
  <dimension ref="B2:O18"/>
  <sheetViews>
    <sheetView workbookViewId="0">
      <selection activeCell="F24" sqref="F24"/>
    </sheetView>
  </sheetViews>
  <sheetFormatPr baseColWidth="10" defaultRowHeight="16" x14ac:dyDescent="0.2"/>
  <cols>
    <col min="1" max="1" width="5.83203125" customWidth="1"/>
  </cols>
  <sheetData>
    <row r="2" spans="2:15" x14ac:dyDescent="0.2">
      <c r="B2" t="s">
        <v>51</v>
      </c>
      <c r="C2" t="s">
        <v>1</v>
      </c>
      <c r="D2" t="s">
        <v>2</v>
      </c>
      <c r="E2" t="s">
        <v>2</v>
      </c>
      <c r="F2" t="s">
        <v>3</v>
      </c>
      <c r="G2" t="s">
        <v>3</v>
      </c>
      <c r="H2" t="s">
        <v>4</v>
      </c>
      <c r="I2" t="s">
        <v>4</v>
      </c>
      <c r="J2" t="s">
        <v>5</v>
      </c>
      <c r="K2" t="s">
        <v>5</v>
      </c>
      <c r="L2" t="s">
        <v>6</v>
      </c>
      <c r="M2" t="s">
        <v>6</v>
      </c>
      <c r="N2" t="s">
        <v>7</v>
      </c>
      <c r="O2" t="s">
        <v>7</v>
      </c>
    </row>
    <row r="3" spans="2:15" x14ac:dyDescent="0.2">
      <c r="B3" t="s">
        <v>39</v>
      </c>
      <c r="D3" t="s">
        <v>42</v>
      </c>
      <c r="E3" t="s">
        <v>43</v>
      </c>
      <c r="F3" t="s">
        <v>42</v>
      </c>
      <c r="G3" t="s">
        <v>43</v>
      </c>
      <c r="H3" t="s">
        <v>42</v>
      </c>
      <c r="I3" t="s">
        <v>43</v>
      </c>
      <c r="J3" t="s">
        <v>42</v>
      </c>
      <c r="K3" t="s">
        <v>43</v>
      </c>
      <c r="L3" t="s">
        <v>42</v>
      </c>
      <c r="M3" t="s">
        <v>43</v>
      </c>
      <c r="N3" t="s">
        <v>42</v>
      </c>
      <c r="O3" t="s">
        <v>43</v>
      </c>
    </row>
    <row r="4" spans="2:15" x14ac:dyDescent="0.2">
      <c r="B4" t="s">
        <v>44</v>
      </c>
      <c r="C4">
        <v>250000</v>
      </c>
      <c r="D4">
        <v>130000</v>
      </c>
      <c r="E4">
        <v>5000</v>
      </c>
      <c r="F4">
        <v>70000</v>
      </c>
      <c r="G4">
        <v>20000</v>
      </c>
      <c r="H4">
        <v>25000</v>
      </c>
      <c r="I4">
        <v>0</v>
      </c>
      <c r="J4">
        <v>55000</v>
      </c>
      <c r="K4">
        <v>15000</v>
      </c>
      <c r="L4">
        <v>65000</v>
      </c>
      <c r="M4">
        <v>15000</v>
      </c>
      <c r="N4">
        <v>95000</v>
      </c>
      <c r="O4">
        <v>15000</v>
      </c>
    </row>
    <row r="5" spans="2:15" x14ac:dyDescent="0.2">
      <c r="B5" t="s">
        <v>45</v>
      </c>
      <c r="C5">
        <v>250000</v>
      </c>
      <c r="D5">
        <v>105000</v>
      </c>
      <c r="E5">
        <v>20000</v>
      </c>
      <c r="F5">
        <v>45000</v>
      </c>
      <c r="G5">
        <v>10000</v>
      </c>
      <c r="H5">
        <v>20000</v>
      </c>
      <c r="I5">
        <v>0</v>
      </c>
      <c r="J5">
        <v>50000</v>
      </c>
      <c r="K5">
        <v>10000</v>
      </c>
      <c r="L5">
        <v>45000</v>
      </c>
      <c r="M5">
        <v>10000</v>
      </c>
      <c r="N5">
        <v>100000</v>
      </c>
      <c r="O5">
        <v>10000</v>
      </c>
    </row>
    <row r="6" spans="2:15" x14ac:dyDescent="0.2">
      <c r="B6" t="s">
        <v>46</v>
      </c>
      <c r="C6">
        <v>250000</v>
      </c>
      <c r="D6">
        <v>55000</v>
      </c>
      <c r="E6">
        <v>10000</v>
      </c>
      <c r="F6">
        <v>95000</v>
      </c>
      <c r="G6">
        <v>0</v>
      </c>
      <c r="H6">
        <v>185000</v>
      </c>
      <c r="I6">
        <v>15000</v>
      </c>
      <c r="J6">
        <v>455000</v>
      </c>
      <c r="K6">
        <v>20000</v>
      </c>
      <c r="L6">
        <v>280000</v>
      </c>
      <c r="M6">
        <v>20000</v>
      </c>
      <c r="N6">
        <v>650000</v>
      </c>
      <c r="O6">
        <v>20000</v>
      </c>
    </row>
    <row r="7" spans="2:15" x14ac:dyDescent="0.2">
      <c r="B7" t="s">
        <v>47</v>
      </c>
      <c r="C7">
        <v>250000</v>
      </c>
      <c r="D7">
        <v>135000</v>
      </c>
      <c r="E7">
        <v>25000</v>
      </c>
      <c r="F7">
        <v>65000</v>
      </c>
      <c r="G7">
        <v>0</v>
      </c>
      <c r="H7">
        <v>220000</v>
      </c>
      <c r="I7">
        <v>25000</v>
      </c>
      <c r="J7">
        <v>175000</v>
      </c>
      <c r="K7">
        <v>10000</v>
      </c>
      <c r="L7">
        <v>290000</v>
      </c>
      <c r="M7">
        <v>10000</v>
      </c>
      <c r="N7">
        <v>260000</v>
      </c>
      <c r="O7">
        <v>10000</v>
      </c>
    </row>
    <row r="8" spans="2:15" x14ac:dyDescent="0.2">
      <c r="B8" t="s">
        <v>48</v>
      </c>
      <c r="C8">
        <v>250000</v>
      </c>
      <c r="D8">
        <v>100000</v>
      </c>
      <c r="E8">
        <v>10000</v>
      </c>
      <c r="F8">
        <v>280000</v>
      </c>
      <c r="G8">
        <v>35000</v>
      </c>
      <c r="H8">
        <v>230000</v>
      </c>
      <c r="I8">
        <v>20000</v>
      </c>
      <c r="J8">
        <v>490000</v>
      </c>
      <c r="K8">
        <v>15000</v>
      </c>
      <c r="L8">
        <v>735000</v>
      </c>
      <c r="M8">
        <v>15000</v>
      </c>
      <c r="N8">
        <v>1255000</v>
      </c>
      <c r="O8">
        <v>15000</v>
      </c>
    </row>
    <row r="9" spans="2:15" x14ac:dyDescent="0.2">
      <c r="B9" t="s">
        <v>49</v>
      </c>
      <c r="C9">
        <v>250000</v>
      </c>
      <c r="D9">
        <v>70000</v>
      </c>
      <c r="E9">
        <v>5000</v>
      </c>
      <c r="F9">
        <v>225000</v>
      </c>
      <c r="G9">
        <v>15000</v>
      </c>
      <c r="H9">
        <v>160000</v>
      </c>
      <c r="I9">
        <v>15000</v>
      </c>
      <c r="J9">
        <v>305000</v>
      </c>
      <c r="K9">
        <v>10000</v>
      </c>
      <c r="L9">
        <v>465000</v>
      </c>
      <c r="M9">
        <v>10000</v>
      </c>
      <c r="N9">
        <v>670000</v>
      </c>
      <c r="O9">
        <v>10000</v>
      </c>
    </row>
    <row r="11" spans="2:15" x14ac:dyDescent="0.2">
      <c r="B11" t="s">
        <v>37</v>
      </c>
      <c r="D11" t="s">
        <v>2</v>
      </c>
      <c r="E11" t="s">
        <v>2</v>
      </c>
      <c r="F11" t="s">
        <v>3</v>
      </c>
      <c r="G11" t="s">
        <v>3</v>
      </c>
      <c r="H11" t="s">
        <v>4</v>
      </c>
      <c r="I11" t="s">
        <v>4</v>
      </c>
      <c r="J11" t="s">
        <v>5</v>
      </c>
      <c r="K11" t="s">
        <v>5</v>
      </c>
      <c r="L11" t="s">
        <v>6</v>
      </c>
      <c r="M11" t="s">
        <v>6</v>
      </c>
      <c r="N11" t="s">
        <v>7</v>
      </c>
      <c r="O11" t="s">
        <v>7</v>
      </c>
    </row>
    <row r="12" spans="2:15" x14ac:dyDescent="0.2">
      <c r="B12" t="s">
        <v>39</v>
      </c>
      <c r="D12" t="s">
        <v>50</v>
      </c>
      <c r="E12" t="s">
        <v>43</v>
      </c>
      <c r="F12" t="s">
        <v>50</v>
      </c>
      <c r="G12" t="s">
        <v>43</v>
      </c>
      <c r="H12" t="s">
        <v>50</v>
      </c>
      <c r="I12" t="s">
        <v>43</v>
      </c>
      <c r="J12" t="s">
        <v>42</v>
      </c>
      <c r="K12" t="s">
        <v>43</v>
      </c>
      <c r="L12" t="s">
        <v>42</v>
      </c>
      <c r="M12" t="s">
        <v>43</v>
      </c>
      <c r="N12" t="s">
        <v>50</v>
      </c>
      <c r="O12" t="s">
        <v>43</v>
      </c>
    </row>
    <row r="13" spans="2:15" x14ac:dyDescent="0.2">
      <c r="B13" t="s">
        <v>44</v>
      </c>
      <c r="D13">
        <v>0.96296296296296291</v>
      </c>
      <c r="E13">
        <v>3.7037037037037035E-2</v>
      </c>
      <c r="F13">
        <v>0.77777777777777779</v>
      </c>
      <c r="G13">
        <v>0.22222222222222221</v>
      </c>
      <c r="H13">
        <v>1</v>
      </c>
      <c r="I13">
        <v>0</v>
      </c>
      <c r="J13">
        <v>0.7857142857142857</v>
      </c>
      <c r="K13">
        <v>0.21428571428571427</v>
      </c>
      <c r="L13">
        <v>0.8125</v>
      </c>
      <c r="M13">
        <v>0.1875</v>
      </c>
      <c r="N13">
        <v>0.86363636363636365</v>
      </c>
      <c r="O13">
        <v>0.13636363636363635</v>
      </c>
    </row>
    <row r="14" spans="2:15" x14ac:dyDescent="0.2">
      <c r="B14" t="s">
        <v>45</v>
      </c>
      <c r="D14">
        <v>0.84</v>
      </c>
      <c r="E14">
        <v>0.16</v>
      </c>
      <c r="F14">
        <v>0.81818181818181823</v>
      </c>
      <c r="G14">
        <v>0.18181818181818182</v>
      </c>
      <c r="H14">
        <v>1</v>
      </c>
      <c r="I14">
        <v>0</v>
      </c>
      <c r="J14">
        <v>0.83333333333333337</v>
      </c>
      <c r="K14">
        <v>0.16666666666666666</v>
      </c>
      <c r="L14">
        <v>0.81818181818181823</v>
      </c>
      <c r="M14">
        <v>0.18181818181818182</v>
      </c>
      <c r="N14">
        <v>0.90909090909090906</v>
      </c>
      <c r="O14">
        <v>9.0909090909090912E-2</v>
      </c>
    </row>
    <row r="15" spans="2:15" x14ac:dyDescent="0.2">
      <c r="B15" t="s">
        <v>46</v>
      </c>
      <c r="D15">
        <v>0.84615384615384615</v>
      </c>
      <c r="E15">
        <v>0.15384615384615385</v>
      </c>
      <c r="F15">
        <v>1</v>
      </c>
      <c r="G15">
        <v>0</v>
      </c>
      <c r="H15">
        <v>0.92500000000000004</v>
      </c>
      <c r="I15">
        <v>7.4999999999999997E-2</v>
      </c>
      <c r="J15">
        <v>0.95789473684210524</v>
      </c>
      <c r="K15">
        <v>4.2105263157894736E-2</v>
      </c>
      <c r="L15">
        <v>0.93333333333333335</v>
      </c>
      <c r="M15">
        <v>6.6666666666666666E-2</v>
      </c>
      <c r="N15">
        <v>0.97014925373134331</v>
      </c>
      <c r="O15">
        <v>2.9850746268656716E-2</v>
      </c>
    </row>
    <row r="16" spans="2:15" x14ac:dyDescent="0.2">
      <c r="B16" t="s">
        <v>47</v>
      </c>
      <c r="D16">
        <v>0.84375</v>
      </c>
      <c r="E16">
        <v>0.15625</v>
      </c>
      <c r="F16">
        <v>1</v>
      </c>
      <c r="G16">
        <v>0</v>
      </c>
      <c r="H16">
        <v>0.89795918367346939</v>
      </c>
      <c r="I16">
        <v>0.10204081632653061</v>
      </c>
      <c r="J16">
        <v>0.94594594594594594</v>
      </c>
      <c r="K16">
        <v>5.4054054054054057E-2</v>
      </c>
      <c r="L16">
        <v>0.96666666666666667</v>
      </c>
      <c r="M16">
        <v>3.3333333333333333E-2</v>
      </c>
      <c r="N16">
        <v>0.96296296296296291</v>
      </c>
      <c r="O16">
        <v>3.7037037037037035E-2</v>
      </c>
    </row>
    <row r="17" spans="2:15" x14ac:dyDescent="0.2">
      <c r="B17" t="s">
        <v>48</v>
      </c>
      <c r="D17">
        <v>0.90909090909090906</v>
      </c>
      <c r="E17">
        <v>9.0909090909090912E-2</v>
      </c>
      <c r="F17">
        <v>0.88888888888888884</v>
      </c>
      <c r="G17">
        <v>0.1111111111111111</v>
      </c>
      <c r="H17">
        <v>0.92</v>
      </c>
      <c r="I17">
        <v>0.08</v>
      </c>
      <c r="J17">
        <v>0.97029702970297027</v>
      </c>
      <c r="K17">
        <v>2.9702970297029702E-2</v>
      </c>
      <c r="L17">
        <v>0.98</v>
      </c>
      <c r="M17">
        <v>0.02</v>
      </c>
      <c r="N17">
        <v>0.98818897637795278</v>
      </c>
      <c r="O17">
        <v>1.1811023622047244E-2</v>
      </c>
    </row>
    <row r="18" spans="2:15" x14ac:dyDescent="0.2">
      <c r="B18" t="s">
        <v>49</v>
      </c>
      <c r="D18">
        <v>0.93333333333333335</v>
      </c>
      <c r="E18">
        <v>6.6666666666666666E-2</v>
      </c>
      <c r="F18">
        <v>0.9375</v>
      </c>
      <c r="G18">
        <v>6.25E-2</v>
      </c>
      <c r="H18">
        <v>0.91428571428571426</v>
      </c>
      <c r="I18">
        <v>8.5714285714285715E-2</v>
      </c>
      <c r="J18">
        <v>0.96825396825396826</v>
      </c>
      <c r="K18">
        <v>3.1746031746031744E-2</v>
      </c>
      <c r="L18">
        <v>0.97894736842105268</v>
      </c>
      <c r="M18">
        <v>2.1052631578947368E-2</v>
      </c>
      <c r="N18">
        <v>0.98529411764705888</v>
      </c>
      <c r="O18">
        <v>1.4705882352941176E-2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CB292-EB69-8C4C-81C2-C637771A195B}">
  <dimension ref="B2:O80"/>
  <sheetViews>
    <sheetView tabSelected="1" zoomScale="125" workbookViewId="0">
      <selection activeCell="C6" sqref="C6"/>
    </sheetView>
  </sheetViews>
  <sheetFormatPr baseColWidth="10" defaultRowHeight="16" x14ac:dyDescent="0.2"/>
  <cols>
    <col min="1" max="1" width="6.5" customWidth="1"/>
  </cols>
  <sheetData>
    <row r="2" spans="2:15" x14ac:dyDescent="0.2">
      <c r="B2" t="s">
        <v>51</v>
      </c>
      <c r="C2" t="s">
        <v>52</v>
      </c>
      <c r="D2" t="s">
        <v>53</v>
      </c>
      <c r="H2" t="s">
        <v>37</v>
      </c>
      <c r="I2" t="s">
        <v>52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</row>
    <row r="3" spans="2:15" x14ac:dyDescent="0.2">
      <c r="B3" t="s">
        <v>1</v>
      </c>
      <c r="D3" t="s">
        <v>17</v>
      </c>
      <c r="E3">
        <v>250000</v>
      </c>
    </row>
    <row r="4" spans="2:15" x14ac:dyDescent="0.2">
      <c r="B4" t="s">
        <v>2</v>
      </c>
      <c r="C4" t="s">
        <v>42</v>
      </c>
      <c r="D4" t="s">
        <v>17</v>
      </c>
      <c r="E4">
        <v>130000</v>
      </c>
      <c r="H4" t="s">
        <v>2</v>
      </c>
      <c r="I4" t="s">
        <v>50</v>
      </c>
      <c r="J4">
        <v>0.96296296296296291</v>
      </c>
      <c r="K4">
        <v>0.84</v>
      </c>
      <c r="L4">
        <v>0.84615384615384615</v>
      </c>
      <c r="M4">
        <v>0.84375</v>
      </c>
      <c r="N4">
        <v>0.90909090909090906</v>
      </c>
      <c r="O4">
        <v>0.93333333333333335</v>
      </c>
    </row>
    <row r="5" spans="2:15" x14ac:dyDescent="0.2">
      <c r="B5" t="s">
        <v>2</v>
      </c>
      <c r="C5" t="s">
        <v>43</v>
      </c>
      <c r="D5" t="s">
        <v>17</v>
      </c>
      <c r="E5">
        <v>5000</v>
      </c>
      <c r="H5" t="s">
        <v>2</v>
      </c>
      <c r="I5" t="s">
        <v>43</v>
      </c>
      <c r="J5">
        <v>3.7037037037037035E-2</v>
      </c>
      <c r="K5">
        <v>0.16</v>
      </c>
      <c r="L5">
        <v>0.15384615384615385</v>
      </c>
      <c r="M5">
        <v>0.15625</v>
      </c>
      <c r="N5">
        <v>9.0909090909090912E-2</v>
      </c>
      <c r="O5">
        <v>6.6666666666666666E-2</v>
      </c>
    </row>
    <row r="6" spans="2:15" x14ac:dyDescent="0.2">
      <c r="B6" t="s">
        <v>3</v>
      </c>
      <c r="C6" t="s">
        <v>42</v>
      </c>
      <c r="D6" t="s">
        <v>17</v>
      </c>
      <c r="E6">
        <v>70000</v>
      </c>
      <c r="H6" t="s">
        <v>3</v>
      </c>
      <c r="I6" t="s">
        <v>50</v>
      </c>
      <c r="J6">
        <v>0.77777777777777779</v>
      </c>
      <c r="K6">
        <v>0.81818181818181823</v>
      </c>
      <c r="L6">
        <v>1</v>
      </c>
      <c r="M6">
        <v>1</v>
      </c>
      <c r="N6">
        <v>0.88888888888888884</v>
      </c>
      <c r="O6">
        <v>0.9375</v>
      </c>
    </row>
    <row r="7" spans="2:15" x14ac:dyDescent="0.2">
      <c r="B7" t="s">
        <v>3</v>
      </c>
      <c r="C7" t="s">
        <v>43</v>
      </c>
      <c r="D7" t="s">
        <v>17</v>
      </c>
      <c r="E7">
        <v>20000</v>
      </c>
      <c r="H7" t="s">
        <v>3</v>
      </c>
      <c r="I7" t="s">
        <v>43</v>
      </c>
      <c r="J7">
        <v>0.22222222222222221</v>
      </c>
      <c r="K7">
        <v>0.18181818181818182</v>
      </c>
      <c r="L7">
        <v>0</v>
      </c>
      <c r="M7">
        <v>0</v>
      </c>
      <c r="N7">
        <v>0.1111111111111111</v>
      </c>
      <c r="O7">
        <v>6.25E-2</v>
      </c>
    </row>
    <row r="8" spans="2:15" x14ac:dyDescent="0.2">
      <c r="B8" t="s">
        <v>4</v>
      </c>
      <c r="C8" t="s">
        <v>42</v>
      </c>
      <c r="D8" t="s">
        <v>17</v>
      </c>
      <c r="E8">
        <v>25000</v>
      </c>
      <c r="H8" t="s">
        <v>4</v>
      </c>
      <c r="I8" t="s">
        <v>50</v>
      </c>
      <c r="J8">
        <v>1</v>
      </c>
      <c r="K8">
        <v>1</v>
      </c>
      <c r="L8">
        <v>0.92500000000000004</v>
      </c>
      <c r="M8">
        <v>0.89795918367346939</v>
      </c>
      <c r="N8">
        <v>0.92</v>
      </c>
      <c r="O8">
        <v>0.91428571428571426</v>
      </c>
    </row>
    <row r="9" spans="2:15" x14ac:dyDescent="0.2">
      <c r="B9" t="s">
        <v>4</v>
      </c>
      <c r="C9" t="s">
        <v>43</v>
      </c>
      <c r="D9" t="s">
        <v>17</v>
      </c>
      <c r="E9">
        <v>0</v>
      </c>
      <c r="H9" t="s">
        <v>4</v>
      </c>
      <c r="I9" t="s">
        <v>43</v>
      </c>
      <c r="J9">
        <v>0</v>
      </c>
      <c r="K9">
        <v>0</v>
      </c>
      <c r="L9">
        <v>7.4999999999999997E-2</v>
      </c>
      <c r="M9">
        <v>0.10204081632653061</v>
      </c>
      <c r="N9">
        <v>0.08</v>
      </c>
      <c r="O9">
        <v>8.5714285714285715E-2</v>
      </c>
    </row>
    <row r="10" spans="2:15" x14ac:dyDescent="0.2">
      <c r="B10" t="s">
        <v>5</v>
      </c>
      <c r="C10" t="s">
        <v>42</v>
      </c>
      <c r="D10" t="s">
        <v>17</v>
      </c>
      <c r="E10">
        <v>55000</v>
      </c>
      <c r="H10" t="s">
        <v>5</v>
      </c>
      <c r="I10" t="s">
        <v>42</v>
      </c>
      <c r="J10">
        <v>0.7857142857142857</v>
      </c>
      <c r="K10">
        <v>0.83333333333333337</v>
      </c>
      <c r="L10">
        <v>0.95789473684210524</v>
      </c>
      <c r="M10">
        <v>0.94594594594594594</v>
      </c>
      <c r="N10">
        <v>0.97029702970297027</v>
      </c>
      <c r="O10">
        <v>0.96825396825396826</v>
      </c>
    </row>
    <row r="11" spans="2:15" x14ac:dyDescent="0.2">
      <c r="B11" t="s">
        <v>5</v>
      </c>
      <c r="C11" t="s">
        <v>43</v>
      </c>
      <c r="D11" t="s">
        <v>17</v>
      </c>
      <c r="E11">
        <v>15000</v>
      </c>
      <c r="H11" t="s">
        <v>5</v>
      </c>
      <c r="I11" t="s">
        <v>43</v>
      </c>
      <c r="J11">
        <v>0.21428571428571427</v>
      </c>
      <c r="K11">
        <v>0.16666666666666666</v>
      </c>
      <c r="L11">
        <v>4.2105263157894736E-2</v>
      </c>
      <c r="M11">
        <v>5.4054054054054057E-2</v>
      </c>
      <c r="N11">
        <v>2.9702970297029702E-2</v>
      </c>
      <c r="O11">
        <v>3.1746031746031744E-2</v>
      </c>
    </row>
    <row r="12" spans="2:15" x14ac:dyDescent="0.2">
      <c r="B12" t="s">
        <v>6</v>
      </c>
      <c r="C12" t="s">
        <v>42</v>
      </c>
      <c r="D12" t="s">
        <v>17</v>
      </c>
      <c r="E12">
        <v>65000</v>
      </c>
      <c r="H12" t="s">
        <v>6</v>
      </c>
      <c r="I12" t="s">
        <v>42</v>
      </c>
      <c r="J12">
        <v>0.8125</v>
      </c>
      <c r="K12">
        <v>0.81818181818181823</v>
      </c>
      <c r="L12">
        <v>0.93333333333333335</v>
      </c>
      <c r="M12">
        <v>0.96666666666666667</v>
      </c>
      <c r="N12">
        <v>0.98</v>
      </c>
      <c r="O12">
        <v>0.97894736842105268</v>
      </c>
    </row>
    <row r="13" spans="2:15" x14ac:dyDescent="0.2">
      <c r="B13" t="s">
        <v>6</v>
      </c>
      <c r="C13" t="s">
        <v>43</v>
      </c>
      <c r="D13" t="s">
        <v>17</v>
      </c>
      <c r="E13">
        <v>15000</v>
      </c>
      <c r="H13" t="s">
        <v>6</v>
      </c>
      <c r="I13" t="s">
        <v>43</v>
      </c>
      <c r="J13">
        <v>0.1875</v>
      </c>
      <c r="K13">
        <v>0.18181818181818182</v>
      </c>
      <c r="L13">
        <v>6.6666666666666666E-2</v>
      </c>
      <c r="M13">
        <v>3.3333333333333333E-2</v>
      </c>
      <c r="N13">
        <v>0.02</v>
      </c>
      <c r="O13">
        <v>2.1052631578947368E-2</v>
      </c>
    </row>
    <row r="14" spans="2:15" x14ac:dyDescent="0.2">
      <c r="B14" t="s">
        <v>7</v>
      </c>
      <c r="C14" t="s">
        <v>42</v>
      </c>
      <c r="D14" t="s">
        <v>17</v>
      </c>
      <c r="E14">
        <v>95000</v>
      </c>
      <c r="H14" t="s">
        <v>7</v>
      </c>
      <c r="I14" t="s">
        <v>50</v>
      </c>
      <c r="J14">
        <v>0.86363636363636365</v>
      </c>
      <c r="K14">
        <v>0.90909090909090906</v>
      </c>
      <c r="L14">
        <v>0.97014925373134331</v>
      </c>
      <c r="M14">
        <v>0.96296296296296291</v>
      </c>
      <c r="N14">
        <v>0.98818897637795278</v>
      </c>
      <c r="O14">
        <v>0.98529411764705888</v>
      </c>
    </row>
    <row r="15" spans="2:15" x14ac:dyDescent="0.2">
      <c r="B15" t="s">
        <v>7</v>
      </c>
      <c r="C15" t="s">
        <v>43</v>
      </c>
      <c r="D15" t="s">
        <v>17</v>
      </c>
      <c r="E15">
        <v>15000</v>
      </c>
      <c r="H15" t="s">
        <v>7</v>
      </c>
      <c r="I15" t="s">
        <v>43</v>
      </c>
      <c r="J15">
        <v>0.13636363636363635</v>
      </c>
      <c r="K15">
        <v>9.0909090909090912E-2</v>
      </c>
      <c r="L15">
        <v>2.9850746268656716E-2</v>
      </c>
      <c r="M15">
        <v>3.7037037037037035E-2</v>
      </c>
      <c r="N15">
        <v>1.1811023622047244E-2</v>
      </c>
      <c r="O15">
        <v>1.4705882352941176E-2</v>
      </c>
    </row>
    <row r="16" spans="2:15" x14ac:dyDescent="0.2">
      <c r="B16" t="s">
        <v>1</v>
      </c>
      <c r="D16" t="s">
        <v>48</v>
      </c>
      <c r="E16">
        <v>250000</v>
      </c>
    </row>
    <row r="17" spans="2:5" x14ac:dyDescent="0.2">
      <c r="B17" t="s">
        <v>2</v>
      </c>
      <c r="C17" t="s">
        <v>42</v>
      </c>
      <c r="D17" t="s">
        <v>48</v>
      </c>
      <c r="E17">
        <v>100000</v>
      </c>
    </row>
    <row r="18" spans="2:5" x14ac:dyDescent="0.2">
      <c r="B18" t="s">
        <v>2</v>
      </c>
      <c r="C18" t="s">
        <v>43</v>
      </c>
      <c r="D18" t="s">
        <v>48</v>
      </c>
      <c r="E18">
        <v>10000</v>
      </c>
    </row>
    <row r="19" spans="2:5" x14ac:dyDescent="0.2">
      <c r="B19" t="s">
        <v>3</v>
      </c>
      <c r="C19" t="s">
        <v>42</v>
      </c>
      <c r="D19" t="s">
        <v>48</v>
      </c>
      <c r="E19">
        <v>280000</v>
      </c>
    </row>
    <row r="20" spans="2:5" x14ac:dyDescent="0.2">
      <c r="B20" t="s">
        <v>3</v>
      </c>
      <c r="C20" t="s">
        <v>43</v>
      </c>
      <c r="D20" t="s">
        <v>48</v>
      </c>
      <c r="E20">
        <v>35000</v>
      </c>
    </row>
    <row r="21" spans="2:5" x14ac:dyDescent="0.2">
      <c r="B21" t="s">
        <v>4</v>
      </c>
      <c r="C21" t="s">
        <v>42</v>
      </c>
      <c r="D21" t="s">
        <v>48</v>
      </c>
      <c r="E21">
        <v>230000</v>
      </c>
    </row>
    <row r="22" spans="2:5" x14ac:dyDescent="0.2">
      <c r="B22" t="s">
        <v>4</v>
      </c>
      <c r="C22" t="s">
        <v>43</v>
      </c>
      <c r="D22" t="s">
        <v>48</v>
      </c>
      <c r="E22">
        <v>20000</v>
      </c>
    </row>
    <row r="23" spans="2:5" x14ac:dyDescent="0.2">
      <c r="B23" t="s">
        <v>5</v>
      </c>
      <c r="C23" t="s">
        <v>42</v>
      </c>
      <c r="D23" t="s">
        <v>48</v>
      </c>
      <c r="E23">
        <v>490000</v>
      </c>
    </row>
    <row r="24" spans="2:5" x14ac:dyDescent="0.2">
      <c r="B24" t="s">
        <v>5</v>
      </c>
      <c r="C24" t="s">
        <v>43</v>
      </c>
      <c r="D24" t="s">
        <v>48</v>
      </c>
      <c r="E24">
        <v>15000</v>
      </c>
    </row>
    <row r="25" spans="2:5" x14ac:dyDescent="0.2">
      <c r="B25" t="s">
        <v>6</v>
      </c>
      <c r="C25" t="s">
        <v>42</v>
      </c>
      <c r="D25" t="s">
        <v>48</v>
      </c>
      <c r="E25">
        <v>735000</v>
      </c>
    </row>
    <row r="26" spans="2:5" x14ac:dyDescent="0.2">
      <c r="B26" t="s">
        <v>6</v>
      </c>
      <c r="C26" t="s">
        <v>43</v>
      </c>
      <c r="D26" t="s">
        <v>48</v>
      </c>
      <c r="E26">
        <v>15000</v>
      </c>
    </row>
    <row r="27" spans="2:5" x14ac:dyDescent="0.2">
      <c r="B27" t="s">
        <v>7</v>
      </c>
      <c r="C27" t="s">
        <v>42</v>
      </c>
      <c r="D27" t="s">
        <v>48</v>
      </c>
      <c r="E27">
        <v>1255000</v>
      </c>
    </row>
    <row r="28" spans="2:5" x14ac:dyDescent="0.2">
      <c r="B28" t="s">
        <v>7</v>
      </c>
      <c r="C28" t="s">
        <v>43</v>
      </c>
      <c r="D28" t="s">
        <v>48</v>
      </c>
      <c r="E28">
        <v>15000</v>
      </c>
    </row>
    <row r="29" spans="2:5" x14ac:dyDescent="0.2">
      <c r="B29" t="s">
        <v>1</v>
      </c>
      <c r="D29" t="s">
        <v>46</v>
      </c>
      <c r="E29">
        <v>250000</v>
      </c>
    </row>
    <row r="30" spans="2:5" x14ac:dyDescent="0.2">
      <c r="B30" t="s">
        <v>2</v>
      </c>
      <c r="C30" t="s">
        <v>42</v>
      </c>
      <c r="D30" t="s">
        <v>46</v>
      </c>
      <c r="E30">
        <v>55000</v>
      </c>
    </row>
    <row r="31" spans="2:5" x14ac:dyDescent="0.2">
      <c r="B31" t="s">
        <v>2</v>
      </c>
      <c r="C31" t="s">
        <v>43</v>
      </c>
      <c r="D31" t="s">
        <v>46</v>
      </c>
      <c r="E31">
        <v>10000</v>
      </c>
    </row>
    <row r="32" spans="2:5" x14ac:dyDescent="0.2">
      <c r="B32" t="s">
        <v>3</v>
      </c>
      <c r="C32" t="s">
        <v>42</v>
      </c>
      <c r="D32" t="s">
        <v>46</v>
      </c>
      <c r="E32">
        <v>95000</v>
      </c>
    </row>
    <row r="33" spans="2:5" x14ac:dyDescent="0.2">
      <c r="B33" t="s">
        <v>3</v>
      </c>
      <c r="C33" t="s">
        <v>43</v>
      </c>
      <c r="D33" t="s">
        <v>46</v>
      </c>
      <c r="E33">
        <v>0</v>
      </c>
    </row>
    <row r="34" spans="2:5" x14ac:dyDescent="0.2">
      <c r="B34" t="s">
        <v>4</v>
      </c>
      <c r="C34" t="s">
        <v>42</v>
      </c>
      <c r="D34" t="s">
        <v>46</v>
      </c>
      <c r="E34">
        <v>185000</v>
      </c>
    </row>
    <row r="35" spans="2:5" x14ac:dyDescent="0.2">
      <c r="B35" t="s">
        <v>4</v>
      </c>
      <c r="C35" t="s">
        <v>43</v>
      </c>
      <c r="D35" t="s">
        <v>46</v>
      </c>
      <c r="E35">
        <v>15000</v>
      </c>
    </row>
    <row r="36" spans="2:5" x14ac:dyDescent="0.2">
      <c r="B36" t="s">
        <v>5</v>
      </c>
      <c r="C36" t="s">
        <v>42</v>
      </c>
      <c r="D36" t="s">
        <v>46</v>
      </c>
      <c r="E36">
        <v>455000</v>
      </c>
    </row>
    <row r="37" spans="2:5" x14ac:dyDescent="0.2">
      <c r="B37" t="s">
        <v>5</v>
      </c>
      <c r="C37" t="s">
        <v>43</v>
      </c>
      <c r="D37" t="s">
        <v>46</v>
      </c>
      <c r="E37">
        <v>20000</v>
      </c>
    </row>
    <row r="38" spans="2:5" x14ac:dyDescent="0.2">
      <c r="B38" t="s">
        <v>6</v>
      </c>
      <c r="C38" t="s">
        <v>42</v>
      </c>
      <c r="D38" t="s">
        <v>46</v>
      </c>
      <c r="E38">
        <v>280000</v>
      </c>
    </row>
    <row r="39" spans="2:5" x14ac:dyDescent="0.2">
      <c r="B39" t="s">
        <v>6</v>
      </c>
      <c r="C39" t="s">
        <v>43</v>
      </c>
      <c r="D39" t="s">
        <v>46</v>
      </c>
      <c r="E39">
        <v>20000</v>
      </c>
    </row>
    <row r="40" spans="2:5" x14ac:dyDescent="0.2">
      <c r="B40" t="s">
        <v>7</v>
      </c>
      <c r="C40" t="s">
        <v>42</v>
      </c>
      <c r="D40" t="s">
        <v>46</v>
      </c>
      <c r="E40">
        <v>650000</v>
      </c>
    </row>
    <row r="41" spans="2:5" x14ac:dyDescent="0.2">
      <c r="B41" t="s">
        <v>7</v>
      </c>
      <c r="C41" t="s">
        <v>43</v>
      </c>
      <c r="D41" t="s">
        <v>46</v>
      </c>
      <c r="E41">
        <v>20000</v>
      </c>
    </row>
    <row r="42" spans="2:5" x14ac:dyDescent="0.2">
      <c r="B42" t="s">
        <v>1</v>
      </c>
      <c r="D42" t="s">
        <v>19</v>
      </c>
      <c r="E42">
        <v>250000</v>
      </c>
    </row>
    <row r="43" spans="2:5" x14ac:dyDescent="0.2">
      <c r="B43" t="s">
        <v>2</v>
      </c>
      <c r="C43" t="s">
        <v>42</v>
      </c>
      <c r="D43" t="s">
        <v>19</v>
      </c>
      <c r="E43">
        <v>105000</v>
      </c>
    </row>
    <row r="44" spans="2:5" x14ac:dyDescent="0.2">
      <c r="B44" t="s">
        <v>2</v>
      </c>
      <c r="C44" t="s">
        <v>43</v>
      </c>
      <c r="D44" t="s">
        <v>19</v>
      </c>
      <c r="E44">
        <v>20000</v>
      </c>
    </row>
    <row r="45" spans="2:5" x14ac:dyDescent="0.2">
      <c r="B45" t="s">
        <v>3</v>
      </c>
      <c r="C45" t="s">
        <v>42</v>
      </c>
      <c r="D45" t="s">
        <v>19</v>
      </c>
      <c r="E45">
        <v>45000</v>
      </c>
    </row>
    <row r="46" spans="2:5" x14ac:dyDescent="0.2">
      <c r="B46" t="s">
        <v>3</v>
      </c>
      <c r="C46" t="s">
        <v>43</v>
      </c>
      <c r="D46" t="s">
        <v>19</v>
      </c>
      <c r="E46">
        <v>10000</v>
      </c>
    </row>
    <row r="47" spans="2:5" x14ac:dyDescent="0.2">
      <c r="B47" t="s">
        <v>4</v>
      </c>
      <c r="C47" t="s">
        <v>42</v>
      </c>
      <c r="D47" t="s">
        <v>19</v>
      </c>
      <c r="E47">
        <v>20000</v>
      </c>
    </row>
    <row r="48" spans="2:5" x14ac:dyDescent="0.2">
      <c r="B48" t="s">
        <v>4</v>
      </c>
      <c r="C48" t="s">
        <v>43</v>
      </c>
      <c r="D48" t="s">
        <v>19</v>
      </c>
      <c r="E48">
        <v>0</v>
      </c>
    </row>
    <row r="49" spans="2:5" x14ac:dyDescent="0.2">
      <c r="B49" t="s">
        <v>5</v>
      </c>
      <c r="C49" t="s">
        <v>42</v>
      </c>
      <c r="D49" t="s">
        <v>19</v>
      </c>
      <c r="E49">
        <v>50000</v>
      </c>
    </row>
    <row r="50" spans="2:5" x14ac:dyDescent="0.2">
      <c r="B50" t="s">
        <v>5</v>
      </c>
      <c r="C50" t="s">
        <v>43</v>
      </c>
      <c r="D50" t="s">
        <v>19</v>
      </c>
      <c r="E50">
        <v>10000</v>
      </c>
    </row>
    <row r="51" spans="2:5" x14ac:dyDescent="0.2">
      <c r="B51" t="s">
        <v>6</v>
      </c>
      <c r="C51" t="s">
        <v>42</v>
      </c>
      <c r="D51" t="s">
        <v>19</v>
      </c>
      <c r="E51">
        <v>45000</v>
      </c>
    </row>
    <row r="52" spans="2:5" x14ac:dyDescent="0.2">
      <c r="B52" t="s">
        <v>6</v>
      </c>
      <c r="C52" t="s">
        <v>43</v>
      </c>
      <c r="D52" t="s">
        <v>19</v>
      </c>
      <c r="E52">
        <v>10000</v>
      </c>
    </row>
    <row r="53" spans="2:5" x14ac:dyDescent="0.2">
      <c r="B53" t="s">
        <v>7</v>
      </c>
      <c r="C53" t="s">
        <v>42</v>
      </c>
      <c r="D53" t="s">
        <v>19</v>
      </c>
      <c r="E53">
        <v>100000</v>
      </c>
    </row>
    <row r="54" spans="2:5" x14ac:dyDescent="0.2">
      <c r="B54" t="s">
        <v>7</v>
      </c>
      <c r="C54" t="s">
        <v>43</v>
      </c>
      <c r="D54" t="s">
        <v>19</v>
      </c>
      <c r="E54">
        <v>10000</v>
      </c>
    </row>
    <row r="55" spans="2:5" x14ac:dyDescent="0.2">
      <c r="B55" t="s">
        <v>1</v>
      </c>
      <c r="D55" t="s">
        <v>54</v>
      </c>
      <c r="E55">
        <v>250000</v>
      </c>
    </row>
    <row r="56" spans="2:5" x14ac:dyDescent="0.2">
      <c r="B56" t="s">
        <v>2</v>
      </c>
      <c r="C56" t="s">
        <v>42</v>
      </c>
      <c r="D56" t="s">
        <v>54</v>
      </c>
      <c r="E56">
        <v>70000</v>
      </c>
    </row>
    <row r="57" spans="2:5" x14ac:dyDescent="0.2">
      <c r="B57" t="s">
        <v>2</v>
      </c>
      <c r="C57" t="s">
        <v>43</v>
      </c>
      <c r="D57" t="s">
        <v>54</v>
      </c>
      <c r="E57">
        <v>5000</v>
      </c>
    </row>
    <row r="58" spans="2:5" x14ac:dyDescent="0.2">
      <c r="B58" t="s">
        <v>3</v>
      </c>
      <c r="C58" t="s">
        <v>42</v>
      </c>
      <c r="D58" t="s">
        <v>54</v>
      </c>
      <c r="E58">
        <v>225000</v>
      </c>
    </row>
    <row r="59" spans="2:5" x14ac:dyDescent="0.2">
      <c r="B59" t="s">
        <v>3</v>
      </c>
      <c r="C59" t="s">
        <v>43</v>
      </c>
      <c r="D59" t="s">
        <v>54</v>
      </c>
      <c r="E59">
        <v>15000</v>
      </c>
    </row>
    <row r="60" spans="2:5" x14ac:dyDescent="0.2">
      <c r="B60" t="s">
        <v>4</v>
      </c>
      <c r="C60" t="s">
        <v>42</v>
      </c>
      <c r="D60" t="s">
        <v>54</v>
      </c>
      <c r="E60">
        <v>160000</v>
      </c>
    </row>
    <row r="61" spans="2:5" x14ac:dyDescent="0.2">
      <c r="B61" t="s">
        <v>4</v>
      </c>
      <c r="C61" t="s">
        <v>43</v>
      </c>
      <c r="D61" t="s">
        <v>54</v>
      </c>
      <c r="E61">
        <v>15000</v>
      </c>
    </row>
    <row r="62" spans="2:5" x14ac:dyDescent="0.2">
      <c r="B62" t="s">
        <v>5</v>
      </c>
      <c r="C62" t="s">
        <v>42</v>
      </c>
      <c r="D62" t="s">
        <v>54</v>
      </c>
      <c r="E62">
        <v>305000</v>
      </c>
    </row>
    <row r="63" spans="2:5" x14ac:dyDescent="0.2">
      <c r="B63" t="s">
        <v>5</v>
      </c>
      <c r="C63" t="s">
        <v>43</v>
      </c>
      <c r="D63" t="s">
        <v>54</v>
      </c>
      <c r="E63">
        <v>10000</v>
      </c>
    </row>
    <row r="64" spans="2:5" x14ac:dyDescent="0.2">
      <c r="B64" t="s">
        <v>6</v>
      </c>
      <c r="C64" t="s">
        <v>42</v>
      </c>
      <c r="D64" t="s">
        <v>54</v>
      </c>
      <c r="E64">
        <v>465000</v>
      </c>
    </row>
    <row r="65" spans="2:5" x14ac:dyDescent="0.2">
      <c r="B65" t="s">
        <v>6</v>
      </c>
      <c r="C65" t="s">
        <v>43</v>
      </c>
      <c r="D65" t="s">
        <v>54</v>
      </c>
      <c r="E65">
        <v>10000</v>
      </c>
    </row>
    <row r="66" spans="2:5" x14ac:dyDescent="0.2">
      <c r="B66" t="s">
        <v>7</v>
      </c>
      <c r="C66" t="s">
        <v>42</v>
      </c>
      <c r="D66" t="s">
        <v>54</v>
      </c>
      <c r="E66">
        <v>670000</v>
      </c>
    </row>
    <row r="67" spans="2:5" x14ac:dyDescent="0.2">
      <c r="B67" t="s">
        <v>7</v>
      </c>
      <c r="C67" t="s">
        <v>43</v>
      </c>
      <c r="D67" t="s">
        <v>54</v>
      </c>
      <c r="E67">
        <v>10000</v>
      </c>
    </row>
    <row r="68" spans="2:5" x14ac:dyDescent="0.2">
      <c r="B68" t="s">
        <v>1</v>
      </c>
      <c r="D68" t="s">
        <v>47</v>
      </c>
      <c r="E68">
        <v>250000</v>
      </c>
    </row>
    <row r="69" spans="2:5" x14ac:dyDescent="0.2">
      <c r="B69" t="s">
        <v>2</v>
      </c>
      <c r="C69" t="s">
        <v>42</v>
      </c>
      <c r="D69" t="s">
        <v>47</v>
      </c>
      <c r="E69">
        <v>135000</v>
      </c>
    </row>
    <row r="70" spans="2:5" x14ac:dyDescent="0.2">
      <c r="B70" t="s">
        <v>2</v>
      </c>
      <c r="C70" t="s">
        <v>43</v>
      </c>
      <c r="D70" t="s">
        <v>47</v>
      </c>
      <c r="E70">
        <v>25000</v>
      </c>
    </row>
    <row r="71" spans="2:5" x14ac:dyDescent="0.2">
      <c r="B71" t="s">
        <v>3</v>
      </c>
      <c r="C71" t="s">
        <v>42</v>
      </c>
      <c r="D71" t="s">
        <v>47</v>
      </c>
      <c r="E71">
        <v>65000</v>
      </c>
    </row>
    <row r="72" spans="2:5" x14ac:dyDescent="0.2">
      <c r="B72" t="s">
        <v>3</v>
      </c>
      <c r="C72" t="s">
        <v>43</v>
      </c>
      <c r="D72" t="s">
        <v>47</v>
      </c>
      <c r="E72">
        <v>0</v>
      </c>
    </row>
    <row r="73" spans="2:5" x14ac:dyDescent="0.2">
      <c r="B73" t="s">
        <v>4</v>
      </c>
      <c r="C73" t="s">
        <v>42</v>
      </c>
      <c r="D73" t="s">
        <v>47</v>
      </c>
      <c r="E73">
        <v>220000</v>
      </c>
    </row>
    <row r="74" spans="2:5" x14ac:dyDescent="0.2">
      <c r="B74" t="s">
        <v>4</v>
      </c>
      <c r="C74" t="s">
        <v>43</v>
      </c>
      <c r="D74" t="s">
        <v>47</v>
      </c>
      <c r="E74">
        <v>25000</v>
      </c>
    </row>
    <row r="75" spans="2:5" x14ac:dyDescent="0.2">
      <c r="B75" t="s">
        <v>5</v>
      </c>
      <c r="C75" t="s">
        <v>42</v>
      </c>
      <c r="D75" t="s">
        <v>47</v>
      </c>
      <c r="E75">
        <v>175000</v>
      </c>
    </row>
    <row r="76" spans="2:5" x14ac:dyDescent="0.2">
      <c r="B76" t="s">
        <v>5</v>
      </c>
      <c r="C76" t="s">
        <v>43</v>
      </c>
      <c r="D76" t="s">
        <v>47</v>
      </c>
      <c r="E76">
        <v>10000</v>
      </c>
    </row>
    <row r="77" spans="2:5" x14ac:dyDescent="0.2">
      <c r="B77" t="s">
        <v>6</v>
      </c>
      <c r="C77" t="s">
        <v>42</v>
      </c>
      <c r="D77" t="s">
        <v>47</v>
      </c>
      <c r="E77">
        <v>290000</v>
      </c>
    </row>
    <row r="78" spans="2:5" x14ac:dyDescent="0.2">
      <c r="B78" t="s">
        <v>6</v>
      </c>
      <c r="C78" t="s">
        <v>43</v>
      </c>
      <c r="D78" t="s">
        <v>47</v>
      </c>
      <c r="E78">
        <v>10000</v>
      </c>
    </row>
    <row r="79" spans="2:5" x14ac:dyDescent="0.2">
      <c r="B79" t="s">
        <v>7</v>
      </c>
      <c r="C79" t="s">
        <v>42</v>
      </c>
      <c r="D79" t="s">
        <v>47</v>
      </c>
      <c r="E79">
        <v>260000</v>
      </c>
    </row>
    <row r="80" spans="2:5" x14ac:dyDescent="0.2">
      <c r="B80" t="s">
        <v>7</v>
      </c>
      <c r="C80" t="s">
        <v>43</v>
      </c>
      <c r="D80" t="s">
        <v>47</v>
      </c>
      <c r="E80">
        <v>10000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Feuil1</vt:lpstr>
      <vt:lpstr>Feuil2</vt:lpstr>
      <vt:lpstr>Try 2</vt:lpstr>
      <vt:lpstr>Flow-csv</vt:lpstr>
      <vt:lpstr>Viability 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Alexia Clara Giroud Nyer</dc:creator>
  <cp:lastModifiedBy>Alexia Clara Giroud Nyer</cp:lastModifiedBy>
  <dcterms:created xsi:type="dcterms:W3CDTF">2025-11-18T14:46:17Z</dcterms:created>
  <dcterms:modified xsi:type="dcterms:W3CDTF">2025-11-28T00:42:08Z</dcterms:modified>
</cp:coreProperties>
</file>